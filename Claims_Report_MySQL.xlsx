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📈 Monthly Trend" sheetId="2" state="visible" r:id="rId4"/>
    <sheet name="🏥 Provider &amp; Payer" sheetId="3" state="visible" r:id="rId5"/>
    <sheet name="⏳ Aging &amp; Denials" sheetId="4" state="visible" r:id="rId6"/>
    <sheet name="📋 All Clai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<sst xmlns="http://schemas.openxmlformats.org/spreadsheetml/2006/main" count="566" uniqueCount="255">
  <si>
    <t xml:space="preserve">Claims Data Review &amp; Reporting — Executive Dashboard</t>
  </si>
  <si>
    <t xml:space="preserve">Financial/Billing Claims | FY 2024 | 50 Claims | Source: claims_db (MySQL)</t>
  </si>
  <si>
    <t xml:space="preserve">Total Claims</t>
  </si>
  <si>
    <t xml:space="preserve">Total Claimed</t>
  </si>
  <si>
    <t xml:space="preserve">Total Paid</t>
  </si>
  <si>
    <t xml:space="preserve">Collection Rate</t>
  </si>
  <si>
    <t xml:space="preserve">Pending Amount</t>
  </si>
  <si>
    <t xml:space="preserve">Denied Amount</t>
  </si>
  <si>
    <t xml:space="preserve">₹6,578,676</t>
  </si>
  <si>
    <t xml:space="preserve">₹2,885,936</t>
  </si>
  <si>
    <t xml:space="preserve">43.9%</t>
  </si>
  <si>
    <t xml:space="preserve">₹1,068,444</t>
  </si>
  <si>
    <t xml:space="preserve">₹1,702,204</t>
  </si>
  <si>
    <t xml:space="preserve">▶ Claims by Status</t>
  </si>
  <si>
    <t xml:space="preserve">▶ Claims by Provider</t>
  </si>
  <si>
    <t xml:space="preserve">Status</t>
  </si>
  <si>
    <t xml:space="preserve">Count</t>
  </si>
  <si>
    <t xml:space="preserve">Claimed (₹)</t>
  </si>
  <si>
    <t xml:space="preserve">Approved (₹)</t>
  </si>
  <si>
    <t xml:space="preserve">Paid (₹)</t>
  </si>
  <si>
    <t xml:space="preserve">Collection %</t>
  </si>
  <si>
    <t xml:space="preserve">Provider</t>
  </si>
  <si>
    <t xml:space="preserve">Claims</t>
  </si>
  <si>
    <t xml:space="preserve">Paid</t>
  </si>
  <si>
    <t xml:space="preserve">City General Hospital</t>
  </si>
  <si>
    <t xml:space="preserve">Denied</t>
  </si>
  <si>
    <t xml:space="preserve">QuickCare Pharmacy</t>
  </si>
  <si>
    <t xml:space="preserve">Pending</t>
  </si>
  <si>
    <t xml:space="preserve">Sunrise Clinic</t>
  </si>
  <si>
    <t xml:space="preserve">Disputed</t>
  </si>
  <si>
    <t xml:space="preserve">MedLab Diagnostics</t>
  </si>
  <si>
    <t xml:space="preserve">Apollo Health Centre</t>
  </si>
  <si>
    <t xml:space="preserve">▶ Aging Report (Pending &amp; Disputed)</t>
  </si>
  <si>
    <t xml:space="preserve">Aging Bucket</t>
  </si>
  <si>
    <t xml:space="preserve">Outstanding (₹)</t>
  </si>
  <si>
    <t xml:space="preserve">0-30</t>
  </si>
  <si>
    <t xml:space="preserve">31-60</t>
  </si>
  <si>
    <t xml:space="preserve">61-90</t>
  </si>
  <si>
    <t xml:space="preserve">90+</t>
  </si>
  <si>
    <t xml:space="preserve">Monthly Claims Trend — FY 2024</t>
  </si>
  <si>
    <t xml:space="preserve">Filed vs Paid by Month</t>
  </si>
  <si>
    <t xml:space="preserve">Month</t>
  </si>
  <si>
    <t xml:space="preserve">Claims Filed</t>
  </si>
  <si>
    <t xml:space="preserve">Total Claimed (₹)</t>
  </si>
  <si>
    <t xml:space="preserve">Total Paid (₹)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</si>
  <si>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</si>
  <si>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</si>
  <si>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</si>
  <si>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</si>
  <si>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</si>
  <si>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</si>
  <si>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</si>
  <si>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</si>
  <si>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</si>
  <si>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</si>
  <si>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</si>
  <si>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</si>
  <si>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Provider &amp; Payer Performance</t>
  </si>
  <si>
    <t xml:space="preserve">Collection rates and claim volumes</t>
  </si>
  <si>
    <t xml:space="preserve">Provider Performance</t>
  </si>
  <si>
    <t xml:space="preserve">Provider Name</t>
  </si>
  <si>
    <t xml:space="preserve">Collection Rate %</t>
  </si>
  <si>
    <t xml:space="preserve">Payer Performance</t>
  </si>
  <si>
    <t xml:space="preserve">Payer Name</t>
  </si>
  <si>
    <t xml:space="preserve">SecureLife Insurance</t>
  </si>
  <si>
    <t xml:space="preserve">CorporateCare Ltd</t>
  </si>
  <si>
    <t xml:space="preserve">GovHealth Programme</t>
  </si>
  <si>
    <t xml:space="preserve">NationalShield Insurance</t>
  </si>
  <si>
    <t xml:space="preserve">Aging Report &amp; Denial Analysis</t>
  </si>
  <si>
    <t xml:space="preserve">Pending/Disputed aging + denial reason breakdown</t>
  </si>
  <si>
    <t xml:space="preserve">Aging Buckets — Pending &amp; Disputed Claims</t>
  </si>
  <si>
    <t xml:space="preserve">No. of Claims</t>
  </si>
  <si>
    <t xml:space="preserve">Outstanding Amount (₹)</t>
  </si>
  <si>
    <t xml:space="preserve">TOTAL</t>
  </si>
  <si>
    <t xml:space="preserve">Denial Reason Breakdown</t>
  </si>
  <si>
    <t xml:space="preserve">Denial Reason</t>
  </si>
  <si>
    <t xml:space="preserve">Amount Denied (₹)</t>
  </si>
  <si>
    <t xml:space="preserve">Policy exclusion</t>
  </si>
  <si>
    <t xml:space="preserve">Amount mismatch</t>
  </si>
  <si>
    <t xml:space="preserve">Out of network</t>
  </si>
  <si>
    <t xml:space="preserve">All Claims — Raw Data</t>
  </si>
  <si>
    <t xml:space="preserve">50 records | Source: claims_db | Generated May 2026</t>
  </si>
  <si>
    <t xml:space="preserve">Claim ID</t>
  </si>
  <si>
    <t xml:space="preserve">Payer</t>
  </si>
  <si>
    <t xml:space="preserve">Claim Date</t>
  </si>
  <si>
    <t xml:space="preserve">Due Date</t>
  </si>
  <si>
    <t xml:space="preserve">Payment Date</t>
  </si>
  <si>
    <t xml:space="preserve">Claim Amt (₹)</t>
  </si>
  <si>
    <t xml:space="preserve">Approved Amt (₹)</t>
  </si>
  <si>
    <t xml:space="preserve">Paid Amt (₹)</t>
  </si>
  <si>
    <t xml:space="preserve">CLM-0001</t>
  </si>
  <si>
    <t xml:space="preserve">2024-06-14</t>
  </si>
  <si>
    <t xml:space="preserve">2024-07-08</t>
  </si>
  <si>
    <t xml:space="preserve">—</t>
  </si>
  <si>
    <t xml:space="preserve">CLM-0002</t>
  </si>
  <si>
    <t xml:space="preserve">2024-09-16</t>
  </si>
  <si>
    <t xml:space="preserve">2024-10-12</t>
  </si>
  <si>
    <t xml:space="preserve">2024-09-28</t>
  </si>
  <si>
    <t xml:space="preserve">CLM-0003</t>
  </si>
  <si>
    <t xml:space="preserve">2024-01-31</t>
  </si>
  <si>
    <t xml:space="preserve">2024-03-09</t>
  </si>
  <si>
    <t xml:space="preserve">2024-02-23</t>
  </si>
  <si>
    <t xml:space="preserve">CLM-0004</t>
  </si>
  <si>
    <t xml:space="preserve">2024-01-26</t>
  </si>
  <si>
    <t xml:space="preserve">2024-02-22</t>
  </si>
  <si>
    <t xml:space="preserve">2024-02-13</t>
  </si>
  <si>
    <t xml:space="preserve">CLM-0005</t>
  </si>
  <si>
    <t xml:space="preserve">2024-10-19</t>
  </si>
  <si>
    <t xml:space="preserve">2024-11-17</t>
  </si>
  <si>
    <t xml:space="preserve">CLM-0006</t>
  </si>
  <si>
    <t xml:space="preserve">2024-07-09</t>
  </si>
  <si>
    <t xml:space="preserve">2024-08-01</t>
  </si>
  <si>
    <t xml:space="preserve">CLM-0007</t>
  </si>
  <si>
    <t xml:space="preserve">2024-09-11</t>
  </si>
  <si>
    <t xml:space="preserve">2024-10-22</t>
  </si>
  <si>
    <t xml:space="preserve">CLM-0008</t>
  </si>
  <si>
    <t xml:space="preserve">2024-07-04</t>
  </si>
  <si>
    <t xml:space="preserve">2024-08-02</t>
  </si>
  <si>
    <t xml:space="preserve">2024-07-16</t>
  </si>
  <si>
    <t xml:space="preserve">CLM-0009</t>
  </si>
  <si>
    <t xml:space="preserve">2024-09-25</t>
  </si>
  <si>
    <t xml:space="preserve">2024-10-30</t>
  </si>
  <si>
    <t xml:space="preserve">2024-10-02</t>
  </si>
  <si>
    <t xml:space="preserve">CLM-0010</t>
  </si>
  <si>
    <t xml:space="preserve">2024-03-25</t>
  </si>
  <si>
    <t xml:space="preserve">2024-05-08</t>
  </si>
  <si>
    <t xml:space="preserve">2024-03-31</t>
  </si>
  <si>
    <t xml:space="preserve">CLM-0011</t>
  </si>
  <si>
    <t xml:space="preserve">2024-06-23</t>
  </si>
  <si>
    <t xml:space="preserve">2024-08-04</t>
  </si>
  <si>
    <t xml:space="preserve">2024-07-12</t>
  </si>
  <si>
    <t xml:space="preserve">CLM-0012</t>
  </si>
  <si>
    <t xml:space="preserve">2024-05-18</t>
  </si>
  <si>
    <t xml:space="preserve">2024-06-22</t>
  </si>
  <si>
    <t xml:space="preserve">CLM-0013</t>
  </si>
  <si>
    <t xml:space="preserve">2024-05-25</t>
  </si>
  <si>
    <t xml:space="preserve">2024-07-06</t>
  </si>
  <si>
    <t xml:space="preserve">CLM-0014</t>
  </si>
  <si>
    <t xml:space="preserve">2024-11-08</t>
  </si>
  <si>
    <t xml:space="preserve">2024-12-01</t>
  </si>
  <si>
    <t xml:space="preserve">CLM-0015</t>
  </si>
  <si>
    <t xml:space="preserve">2024-07-19</t>
  </si>
  <si>
    <t xml:space="preserve">2024-08-23</t>
  </si>
  <si>
    <t xml:space="preserve">CLM-0016</t>
  </si>
  <si>
    <t xml:space="preserve">2024-10-08</t>
  </si>
  <si>
    <t xml:space="preserve">2024-11-05</t>
  </si>
  <si>
    <t xml:space="preserve">CLM-0017</t>
  </si>
  <si>
    <t xml:space="preserve">2024-02-12</t>
  </si>
  <si>
    <t xml:space="preserve">2024-03-08</t>
  </si>
  <si>
    <t xml:space="preserve">2024-03-03</t>
  </si>
  <si>
    <t xml:space="preserve">CLM-0018</t>
  </si>
  <si>
    <t xml:space="preserve">2024-05-14</t>
  </si>
  <si>
    <t xml:space="preserve">2024-06-12</t>
  </si>
  <si>
    <t xml:space="preserve">2024-06-07</t>
  </si>
  <si>
    <t xml:space="preserve">CLM-0019</t>
  </si>
  <si>
    <t xml:space="preserve">2024-03-05</t>
  </si>
  <si>
    <t xml:space="preserve">2024-04-16</t>
  </si>
  <si>
    <t xml:space="preserve">CLM-0020</t>
  </si>
  <si>
    <t xml:space="preserve">2024-07-22</t>
  </si>
  <si>
    <t xml:space="preserve">CLM-0021</t>
  </si>
  <si>
    <t xml:space="preserve">2024-05-20</t>
  </si>
  <si>
    <t xml:space="preserve">2024-04-24</t>
  </si>
  <si>
    <t xml:space="preserve">CLM-0022</t>
  </si>
  <si>
    <t xml:space="preserve">2024-10-01</t>
  </si>
  <si>
    <t xml:space="preserve">2024-10-24</t>
  </si>
  <si>
    <t xml:space="preserve">CLM-0023</t>
  </si>
  <si>
    <t xml:space="preserve">2024-03-17</t>
  </si>
  <si>
    <t xml:space="preserve">2024-04-26</t>
  </si>
  <si>
    <t xml:space="preserve">2024-04-06</t>
  </si>
  <si>
    <t xml:space="preserve">CLM-0024</t>
  </si>
  <si>
    <t xml:space="preserve">2024-09-06</t>
  </si>
  <si>
    <t xml:space="preserve">2024-10-10</t>
  </si>
  <si>
    <t xml:space="preserve">CLM-0025</t>
  </si>
  <si>
    <t xml:space="preserve">2024-09-02</t>
  </si>
  <si>
    <t xml:space="preserve">2024-10-14</t>
  </si>
  <si>
    <t xml:space="preserve">2024-09-23</t>
  </si>
  <si>
    <t xml:space="preserve">CLM-0026</t>
  </si>
  <si>
    <t xml:space="preserve">2024-12-19</t>
  </si>
  <si>
    <t xml:space="preserve">2025-01-25</t>
  </si>
  <si>
    <t xml:space="preserve">2025-01-13</t>
  </si>
  <si>
    <t xml:space="preserve">CLM-0027</t>
  </si>
  <si>
    <t xml:space="preserve">2024-09-22</t>
  </si>
  <si>
    <t xml:space="preserve">2024-10-23</t>
  </si>
  <si>
    <t xml:space="preserve">CLM-0028</t>
  </si>
  <si>
    <t xml:space="preserve">2024-11-21</t>
  </si>
  <si>
    <t xml:space="preserve">2024-12-18</t>
  </si>
  <si>
    <t xml:space="preserve">CLM-0029</t>
  </si>
  <si>
    <t xml:space="preserve">2024-05-22</t>
  </si>
  <si>
    <t xml:space="preserve">CLM-0030</t>
  </si>
  <si>
    <t xml:space="preserve">2024-08-29</t>
  </si>
  <si>
    <t xml:space="preserve">2024-09-26</t>
  </si>
  <si>
    <t xml:space="preserve">2024-09-17</t>
  </si>
  <si>
    <t xml:space="preserve">CLM-0031</t>
  </si>
  <si>
    <t xml:space="preserve">2024-02-11</t>
  </si>
  <si>
    <t xml:space="preserve">CLM-0032</t>
  </si>
  <si>
    <t xml:space="preserve">CLM-0033</t>
  </si>
  <si>
    <t xml:space="preserve">2024-12-30</t>
  </si>
  <si>
    <t xml:space="preserve">2025-02-12</t>
  </si>
  <si>
    <t xml:space="preserve">2025-01-29</t>
  </si>
  <si>
    <t xml:space="preserve">CLM-0034</t>
  </si>
  <si>
    <t xml:space="preserve">2024-07-21</t>
  </si>
  <si>
    <t xml:space="preserve">2024-08-24</t>
  </si>
  <si>
    <t xml:space="preserve">CLM-0035</t>
  </si>
  <si>
    <t xml:space="preserve">2024-01-15</t>
  </si>
  <si>
    <t xml:space="preserve">2024-02-08</t>
  </si>
  <si>
    <t xml:space="preserve">CLM-0036</t>
  </si>
  <si>
    <t xml:space="preserve">2024-12-02</t>
  </si>
  <si>
    <t xml:space="preserve">2025-01-02</t>
  </si>
  <si>
    <t xml:space="preserve">2024-12-07</t>
  </si>
  <si>
    <t xml:space="preserve">CLM-0037</t>
  </si>
  <si>
    <t xml:space="preserve">2024-08-10</t>
  </si>
  <si>
    <t xml:space="preserve">2024-09-05</t>
  </si>
  <si>
    <t xml:space="preserve">2024-08-31</t>
  </si>
  <si>
    <t xml:space="preserve">CLM-0038</t>
  </si>
  <si>
    <t xml:space="preserve">2024-05-12</t>
  </si>
  <si>
    <t xml:space="preserve">2024-06-18</t>
  </si>
  <si>
    <t xml:space="preserve">CLM-0039</t>
  </si>
  <si>
    <t xml:space="preserve">2024-09-13</t>
  </si>
  <si>
    <t xml:space="preserve">2024-10-07</t>
  </si>
  <si>
    <t xml:space="preserve">CLM-0040</t>
  </si>
  <si>
    <t xml:space="preserve">2024-11-07</t>
  </si>
  <si>
    <t xml:space="preserve">2024-11-27</t>
  </si>
  <si>
    <t xml:space="preserve">2024-12-05</t>
  </si>
  <si>
    <t xml:space="preserve">CLM-0041</t>
  </si>
  <si>
    <t xml:space="preserve">2024-06-15</t>
  </si>
  <si>
    <t xml:space="preserve">2024-07-26</t>
  </si>
  <si>
    <t xml:space="preserve">CLM-0042</t>
  </si>
  <si>
    <t xml:space="preserve">2024-05-07</t>
  </si>
  <si>
    <t xml:space="preserve">2024-06-02</t>
  </si>
  <si>
    <t xml:space="preserve">2024-05-26</t>
  </si>
  <si>
    <t xml:space="preserve">CLM-0043</t>
  </si>
  <si>
    <t xml:space="preserve">2024-02-02</t>
  </si>
  <si>
    <t xml:space="preserve">2024-03-07</t>
  </si>
  <si>
    <t xml:space="preserve">CLM-0044</t>
  </si>
  <si>
    <t xml:space="preserve">2024-08-19</t>
  </si>
  <si>
    <t xml:space="preserve">2024-09-24</t>
  </si>
  <si>
    <t xml:space="preserve">CLM-0045</t>
  </si>
  <si>
    <t xml:space="preserve">2024-10-13</t>
  </si>
  <si>
    <t xml:space="preserve">CLM-0046</t>
  </si>
  <si>
    <t xml:space="preserve">2024-12-09</t>
  </si>
  <si>
    <t xml:space="preserve">2025-01-05</t>
  </si>
  <si>
    <t xml:space="preserve">CLM-0047</t>
  </si>
  <si>
    <t xml:space="preserve">2024-03-14</t>
  </si>
  <si>
    <t xml:space="preserve">2024-04-11</t>
  </si>
  <si>
    <t xml:space="preserve">2024-03-22</t>
  </si>
  <si>
    <t xml:space="preserve">CLM-0048</t>
  </si>
  <si>
    <t xml:space="preserve">2024-03-24</t>
  </si>
  <si>
    <t xml:space="preserve">2024-05-04</t>
  </si>
  <si>
    <t xml:space="preserve">2024-04-14</t>
  </si>
  <si>
    <t xml:space="preserve">CLM-0049</t>
  </si>
  <si>
    <t xml:space="preserve">2024-08-03</t>
  </si>
  <si>
    <t xml:space="preserve">2024-08-08</t>
  </si>
  <si>
    <t xml:space="preserve">CLM-0050</t>
  </si>
  <si>
    <t xml:space="preserve">2024-08-13</t>
  </si>
  <si>
    <t xml:space="preserve">2024-08-27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</si>
</sst>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A4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2E75B6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3"/>
      <color rgb="FF17A589"/>
      <name val="Arial"/>
      <family val="0"/>
      <charset val="1"/>
    </font>
    <font>
      <b val="true"/>
      <sz val="13"/>
      <color rgb="FF1E8449"/>
      <name val="Arial"/>
      <family val="0"/>
      <charset val="1"/>
    </font>
    <font>
      <b val="true"/>
      <sz val="13"/>
      <color rgb="FFE67E22"/>
      <name val="Arial"/>
      <family val="0"/>
      <charset val="1"/>
    </font>
    <font>
      <b val="true"/>
      <sz val="13"/>
      <color rgb="FFC0392B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6E4F7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17A589"/>
        <bgColor rgb="FF008080"/>
      </patternFill>
    </fill>
    <fill>
      <patternFill patternType="solid">
        <fgColor rgb="FF1E8449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C0504D"/>
      </patternFill>
    </fill>
    <fill>
      <patternFill patternType="solid">
        <fgColor rgb="FFFFFFFF"/>
        <bgColor rgb="FFF9F9F9"/>
      </patternFill>
    </fill>
    <fill>
      <patternFill patternType="solid">
        <fgColor rgb="FFEAF0FB"/>
        <bgColor rgb="FFF9F9F9"/>
      </patternFill>
    </fill>
    <fill>
      <patternFill patternType="solid">
        <fgColor rgb="FFFEF9E7"/>
        <bgColor rgb="FFF9F9F9"/>
      </patternFill>
    </fill>
    <fill>
      <patternFill patternType="solid">
        <fgColor rgb="FFD5F5E3"/>
        <bgColor rgb="FFEAF0FB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D9D9D9"/>
      <rgbColor rgb="FF878787"/>
      <rgbColor rgb="FF9999FF"/>
      <rgbColor rgb="FFC0504D"/>
      <rgbColor rgb="FFFEF9E7"/>
      <rgbColor rgb="FFEAF0FB"/>
      <rgbColor rgb="FF660066"/>
      <rgbColor rgb="FFFF8080"/>
      <rgbColor rgb="FF0066CC"/>
      <rgbColor rgb="FFC8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5F5E3"/>
      <rgbColor rgb="FFFDEBD0"/>
      <rgbColor rgb="FFF9F9F9"/>
      <rgbColor rgb="FFFF99CC"/>
      <rgbColor rgb="FFCC99FF"/>
      <rgbColor rgb="FFFADBD8"/>
      <rgbColor rgb="FF2E75B6"/>
      <rgbColor rgb="FF33CCCC"/>
      <rgbColor rgb="FF9BBB59"/>
      <rgbColor rgb="FFFFCC00"/>
      <rgbColor rgb="FFFF9900"/>
      <rgbColor rgb="FFE67E22"/>
      <rgbColor rgb="FF8064A2"/>
      <rgbColor rgb="FF4F81BD"/>
      <rgbColor rgb="FF003366"/>
      <rgbColor rgb="FF17A589"/>
      <rgbColor rgb="FF003300"/>
      <rgbColor rgb="FF4A4A4A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Claimed vs Paid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Monthly Trend'!D4</c:f>
              <c:strCache>
                <c:ptCount val="1"/>
                <c:pt idx="0">
                  <c:v>Total Claimed (₹)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Trend'!$B$5:$B$16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'📈 Monthly Trend'!$D$5:$D$16</c:f>
              <c:numCache>
                <c:formatCode>#,##0.00</c:formatCode>
                <c:ptCount val="12"/>
                <c:pt idx="0">
                  <c:v>611107.17</c:v>
                </c:pt>
                <c:pt idx="1">
                  <c:v>296762.68</c:v>
                </c:pt>
                <c:pt idx="2">
                  <c:v>823871.53</c:v>
                </c:pt>
                <c:pt idx="3">
                  <c:v>171636.88</c:v>
                </c:pt>
                <c:pt idx="4">
                  <c:v>679716.75</c:v>
                </c:pt>
                <c:pt idx="5">
                  <c:v>462367.21</c:v>
                </c:pt>
                <c:pt idx="6">
                  <c:v>667140.4</c:v>
                </c:pt>
                <c:pt idx="7">
                  <c:v>599225.77</c:v>
                </c:pt>
                <c:pt idx="8">
                  <c:v>954327.61</c:v>
                </c:pt>
                <c:pt idx="9">
                  <c:v>525839.22</c:v>
                </c:pt>
                <c:pt idx="10">
                  <c:v>290060.91</c:v>
                </c:pt>
                <c:pt idx="11">
                  <c:v>496619.78</c:v>
                </c:pt>
              </c:numCache>
            </c:numRef>
          </c:val>
        </c:ser>
        <c:ser>
          <c:idx val="1"/>
          <c:order val="1"/>
          <c:tx>
            <c:strRef>
              <c:f>'📈 Monthly Trend'!E4</c:f>
              <c:strCache>
                <c:ptCount val="1"/>
                <c:pt idx="0">
                  <c:v>Total Paid (₹)</c:v>
                </c:pt>
              </c:strCache>
            </c:strRef>
          </c:tx>
          <c:spPr>
            <a:solidFill>
              <a:srgbClr val="17a58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Monthly Trend'!$B$5:$B$16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'📈 Monthly Trend'!$E$5:$E$16</c:f>
              <c:numCache>
                <c:formatCode>#,##0.00</c:formatCode>
                <c:ptCount val="12"/>
                <c:pt idx="0">
                  <c:v>319213.17</c:v>
                </c:pt>
                <c:pt idx="1">
                  <c:v>240737.05</c:v>
                </c:pt>
                <c:pt idx="2">
                  <c:v>483438.5</c:v>
                </c:pt>
                <c:pt idx="3">
                  <c:v>35942.08</c:v>
                </c:pt>
                <c:pt idx="4">
                  <c:v>60532.14</c:v>
                </c:pt>
                <c:pt idx="5">
                  <c:v>135182.77</c:v>
                </c:pt>
                <c:pt idx="6">
                  <c:v>227852.68</c:v>
                </c:pt>
                <c:pt idx="7">
                  <c:v>364343.79</c:v>
                </c:pt>
                <c:pt idx="8">
                  <c:v>502285.24</c:v>
                </c:pt>
                <c:pt idx="9">
                  <c:v>114818.65</c:v>
                </c:pt>
                <c:pt idx="10">
                  <c:v>46734.9</c:v>
                </c:pt>
                <c:pt idx="11">
                  <c:v>354855.22</c:v>
                </c:pt>
              </c:numCache>
            </c:numRef>
          </c:val>
        </c:ser>
        <c:gapWidth val="150"/>
        <c:overlap val="0"/>
        <c:axId val="62299670"/>
        <c:axId val="81683900"/>
      </c:barChart>
      <c:catAx>
        <c:axId val="622996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83900"/>
        <c:crosses val="autoZero"/>
        <c:auto val="1"/>
        <c:lblAlgn val="ctr"/>
        <c:lblOffset val="100"/>
        <c:noMultiLvlLbl val="0"/>
      </c:catAx>
      <c:valAx>
        <c:axId val="81683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996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Claim Volume by Payer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'🏥 Provider &amp; Payer'!$B$15:$B$18</c:f>
              <c:strCache>
                <c:ptCount val="4"/>
                <c:pt idx="0">
                  <c:v>SecureLife Insurance</c:v>
                </c:pt>
                <c:pt idx="1">
                  <c:v>CorporateCare Ltd</c:v>
                </c:pt>
                <c:pt idx="2">
                  <c:v>GovHealth Programme</c:v>
                </c:pt>
                <c:pt idx="3">
                  <c:v>NationalShield Insurance</c:v>
                </c:pt>
              </c:strCache>
            </c:strRef>
          </c:cat>
          <c:val>
            <c:numRef>
              <c:f>'🏥 Provider &amp; Payer'!$D$14:$D$17</c:f>
              <c:numCache>
                <c:formatCode>#,##0.00</c:formatCode>
                <c:ptCount val="4"/>
                <c:pt idx="1">
                  <c:v>2405833.15</c:v>
                </c:pt>
                <c:pt idx="2">
                  <c:v>1501009.81</c:v>
                </c:pt>
                <c:pt idx="3">
                  <c:v>1356171.04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Outstanding by Aging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67e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'⏳ Aging &amp; Denials'!$B$6:$B$9</c:f>
              <c:strCache>
                <c:ptCount val="4"/>
                <c:pt idx="0">
                  <c:v>0-30</c:v>
                </c:pt>
                <c:pt idx="1">
                  <c:v>31-60</c:v>
                </c:pt>
                <c:pt idx="2">
                  <c:v>61-90</c:v>
                </c:pt>
                <c:pt idx="3">
                  <c:v>90+</c:v>
                </c:pt>
              </c:strCache>
            </c:strRef>
          </c:cat>
          <c:val>
            <c:numRef>
              <c:f>'⏳ Aging &amp; Denials'!$D$5:$D$9</c:f>
              <c:numCache>
                <c:formatCode>#,##0.00</c:formatCode>
                <c:ptCount val="5"/>
                <c:pt idx="1">
                  <c:v>368185.34</c:v>
                </c:pt>
                <c:pt idx="2">
                  <c:v>218542.18</c:v>
                </c:pt>
                <c:pt idx="3">
                  <c:v>382111.59</c:v>
                </c:pt>
                <c:pt idx="4">
                  <c:v>383275.74</c:v>
                </c:pt>
              </c:numCache>
            </c:numRef>
          </c:val>
        </c:ser>
        <c:gapWidth val="150"/>
        <c:overlap val="0"/>
        <c:axId val="60808786"/>
        <c:axId val="22345516"/>
      </c:barChart>
      <c:catAx>
        <c:axId val="60808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45516"/>
        <c:crosses val="autoZero"/>
        <c:auto val="1"/>
        <c:lblAlgn val="ctr"/>
        <c:lblOffset val="100"/>
        <c:noMultiLvlLbl val="0"/>
      </c:catAx>
      <c:valAx>
        <c:axId val="223455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087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0</xdr:rowOff>
    </xdr:from>
    <xdr:to>
      <xdr:col>12</xdr:col>
      <xdr:colOff>248040</xdr:colOff>
      <xdr:row>44</xdr:row>
      <xdr:rowOff>86400</xdr:rowOff>
    </xdr:to>
    <xdr:graphicFrame>
      <xdr:nvGraphicFramePr>
        <xdr:cNvPr id="0" name="Chart 1"/>
        <xdr:cNvGraphicFramePr/>
      </xdr:nvGraphicFramePr>
      <xdr:xfrm>
        <a:off x="211320" y="372420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17</xdr:col>
      <xdr:colOff>44640</xdr:colOff>
      <xdr:row>26</xdr:row>
      <xdr:rowOff>128520</xdr:rowOff>
    </xdr:to>
    <xdr:graphicFrame>
      <xdr:nvGraphicFramePr>
        <xdr:cNvPr id="1" name="Chart 1"/>
        <xdr:cNvGraphicFramePr/>
      </xdr:nvGraphicFramePr>
      <xdr:xfrm>
        <a:off x="6766560" y="10573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16</xdr:col>
      <xdr:colOff>153000</xdr:colOff>
      <xdr:row>26</xdr:row>
      <xdr:rowOff>128520</xdr:rowOff>
    </xdr:to>
    <xdr:graphicFrame>
      <xdr:nvGraphicFramePr>
        <xdr:cNvPr id="2" name="Chart 1"/>
        <xdr:cNvGraphicFramePr/>
      </xdr:nvGraphicFramePr>
      <xdr:xfrm>
        <a:off x="5074920" y="10573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2" min="11" style="0" width="16"/>
    <col collapsed="false" customWidth="true" hidden="false" outlineLevel="0" max="13" min="13" style="0" width="14"/>
    <col collapsed="false" customWidth="true" hidden="false" outlineLevel="0" max="14" min="14" style="0" width="3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7.5" hidden="false" customHeight="true" outlineLevel="0" collapsed="false"/>
    <row r="5" customFormat="false" ht="21.75" hidden="false" customHeight="true" outlineLevel="0" collapsed="false">
      <c r="B5" s="3" t="s">
        <v>2</v>
      </c>
      <c r="C5" s="3"/>
      <c r="D5" s="4" t="s">
        <v>3</v>
      </c>
      <c r="E5" s="4"/>
      <c r="F5" s="5" t="s">
        <v>4</v>
      </c>
      <c r="G5" s="5"/>
      <c r="H5" s="6" t="s">
        <v>5</v>
      </c>
      <c r="I5" s="6"/>
      <c r="J5" s="7" t="s">
        <v>6</v>
      </c>
      <c r="K5" s="7"/>
      <c r="L5" s="8" t="s">
        <v>7</v>
      </c>
      <c r="M5" s="8"/>
    </row>
    <row r="6" customFormat="false" ht="27.75" hidden="false" customHeight="true" outlineLevel="0" collapsed="false">
      <c r="B6" s="9" t="n">
        <v>50</v>
      </c>
      <c r="C6" s="9"/>
      <c r="D6" s="10" t="s">
        <v>8</v>
      </c>
      <c r="E6" s="10"/>
      <c r="F6" s="11" t="s">
        <v>9</v>
      </c>
      <c r="G6" s="11"/>
      <c r="H6" s="12" t="s">
        <v>10</v>
      </c>
      <c r="I6" s="12"/>
      <c r="J6" s="13" t="s">
        <v>11</v>
      </c>
      <c r="K6" s="13"/>
      <c r="L6" s="14" t="s">
        <v>12</v>
      </c>
      <c r="M6" s="14"/>
    </row>
    <row r="7" customFormat="false" ht="6" hidden="false" customHeight="true" outlineLevel="0" collapsed="false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9" customFormat="false" ht="19.5" hidden="false" customHeight="true" outlineLevel="0" collapsed="false">
      <c r="B9" s="16" t="s">
        <v>13</v>
      </c>
      <c r="I9" s="16" t="s">
        <v>14</v>
      </c>
    </row>
    <row r="10" customFormat="false" ht="15" hidden="false" customHeight="false" outlineLevel="0" collapsed="false">
      <c r="B10" s="17" t="s">
        <v>15</v>
      </c>
      <c r="C10" s="17" t="s">
        <v>16</v>
      </c>
      <c r="D10" s="17" t="s">
        <v>17</v>
      </c>
      <c r="E10" s="17" t="s">
        <v>18</v>
      </c>
      <c r="F10" s="17" t="s">
        <v>19</v>
      </c>
      <c r="G10" s="17" t="s">
        <v>20</v>
      </c>
      <c r="I10" s="17" t="s">
        <v>21</v>
      </c>
      <c r="J10" s="17" t="s">
        <v>22</v>
      </c>
      <c r="K10" s="17" t="s">
        <v>17</v>
      </c>
      <c r="L10" s="17" t="s">
        <v>19</v>
      </c>
      <c r="M10" s="17" t="s">
        <v>20</v>
      </c>
    </row>
    <row r="11" customFormat="false" ht="15" hidden="false" customHeight="false" outlineLevel="0" collapsed="false">
      <c r="B11" s="18" t="s">
        <v>23</v>
      </c>
      <c r="C11" s="19" t="n">
        <v>29</v>
      </c>
      <c r="D11" s="20" t="n">
        <v>3524357.07</v>
      </c>
      <c r="E11" s="20" t="n">
        <v>2885936.19</v>
      </c>
      <c r="F11" s="20" t="n">
        <v>2885936.19</v>
      </c>
      <c r="G11" s="20" t="n">
        <v>81.9</v>
      </c>
      <c r="I11" s="18" t="s">
        <v>24</v>
      </c>
      <c r="J11" s="19" t="n">
        <v>15</v>
      </c>
      <c r="K11" s="20" t="n">
        <v>2219539.11</v>
      </c>
      <c r="L11" s="20" t="n">
        <v>1448290.79</v>
      </c>
      <c r="M11" s="20" t="n">
        <v>65.3</v>
      </c>
    </row>
    <row r="12" customFormat="false" ht="15" hidden="false" customHeight="false" outlineLevel="0" collapsed="false">
      <c r="B12" s="21" t="s">
        <v>25</v>
      </c>
      <c r="C12" s="22" t="n">
        <v>10</v>
      </c>
      <c r="D12" s="23" t="n">
        <v>1702203.99</v>
      </c>
      <c r="E12" s="23" t="n">
        <v>0</v>
      </c>
      <c r="F12" s="23" t="n">
        <v>0</v>
      </c>
      <c r="G12" s="23" t="n">
        <v>0</v>
      </c>
      <c r="I12" s="21" t="s">
        <v>26</v>
      </c>
      <c r="J12" s="22" t="n">
        <v>10</v>
      </c>
      <c r="K12" s="23" t="n">
        <v>1292590.52</v>
      </c>
      <c r="L12" s="23" t="n">
        <v>394548.58</v>
      </c>
      <c r="M12" s="23" t="n">
        <v>30.5</v>
      </c>
    </row>
    <row r="13" customFormat="false" ht="15" hidden="false" customHeight="false" outlineLevel="0" collapsed="false">
      <c r="B13" s="18" t="s">
        <v>27</v>
      </c>
      <c r="C13" s="19" t="n">
        <v>9</v>
      </c>
      <c r="D13" s="20" t="n">
        <v>1068444.4</v>
      </c>
      <c r="E13" s="20" t="n">
        <v>809148.72</v>
      </c>
      <c r="F13" s="20" t="n">
        <v>0</v>
      </c>
      <c r="G13" s="20" t="n">
        <v>0</v>
      </c>
      <c r="I13" s="18" t="s">
        <v>28</v>
      </c>
      <c r="J13" s="19" t="n">
        <v>8</v>
      </c>
      <c r="K13" s="20" t="n">
        <v>1098624.27</v>
      </c>
      <c r="L13" s="20" t="n">
        <v>457574.51</v>
      </c>
      <c r="M13" s="20" t="n">
        <v>41.6</v>
      </c>
    </row>
    <row r="14" customFormat="false" ht="15" hidden="false" customHeight="false" outlineLevel="0" collapsed="false">
      <c r="B14" s="21" t="s">
        <v>29</v>
      </c>
      <c r="C14" s="22" t="n">
        <v>2</v>
      </c>
      <c r="D14" s="23" t="n">
        <v>283670.45</v>
      </c>
      <c r="E14" s="23" t="n">
        <v>213801.75</v>
      </c>
      <c r="F14" s="23" t="n">
        <v>0</v>
      </c>
      <c r="G14" s="23" t="n">
        <v>0</v>
      </c>
      <c r="I14" s="21" t="s">
        <v>30</v>
      </c>
      <c r="J14" s="22" t="n">
        <v>10</v>
      </c>
      <c r="K14" s="23" t="n">
        <v>988791.51</v>
      </c>
      <c r="L14" s="23" t="n">
        <v>304132.2</v>
      </c>
      <c r="M14" s="23" t="n">
        <v>30.8</v>
      </c>
    </row>
    <row r="15" customFormat="false" ht="15" hidden="false" customHeight="false" outlineLevel="0" collapsed="false">
      <c r="I15" s="18" t="s">
        <v>31</v>
      </c>
      <c r="J15" s="19" t="n">
        <v>7</v>
      </c>
      <c r="K15" s="20" t="n">
        <v>979130.5</v>
      </c>
      <c r="L15" s="20" t="n">
        <v>281390.11</v>
      </c>
      <c r="M15" s="20" t="n">
        <v>28.7</v>
      </c>
    </row>
    <row r="17" customFormat="false" ht="15" hidden="false" customHeight="false" outlineLevel="0" collapsed="false">
      <c r="B17" s="16" t="s">
        <v>32</v>
      </c>
    </row>
    <row r="18" customFormat="false" ht="15" hidden="false" customHeight="false" outlineLevel="0" collapsed="false">
      <c r="B18" s="17" t="s">
        <v>33</v>
      </c>
      <c r="C18" s="17" t="s">
        <v>22</v>
      </c>
      <c r="D18" s="17" t="s">
        <v>34</v>
      </c>
    </row>
    <row r="19" customFormat="false" ht="15" hidden="false" customHeight="false" outlineLevel="0" collapsed="false">
      <c r="B19" s="18" t="s">
        <v>35</v>
      </c>
      <c r="C19" s="19" t="n">
        <v>4</v>
      </c>
      <c r="D19" s="20" t="n">
        <v>368185.34</v>
      </c>
    </row>
    <row r="20" customFormat="false" ht="15" hidden="false" customHeight="false" outlineLevel="0" collapsed="false">
      <c r="B20" s="21" t="s">
        <v>36</v>
      </c>
      <c r="C20" s="22" t="n">
        <v>2</v>
      </c>
      <c r="D20" s="23" t="n">
        <v>218542.18</v>
      </c>
    </row>
    <row r="21" customFormat="false" ht="15" hidden="false" customHeight="false" outlineLevel="0" collapsed="false">
      <c r="B21" s="18" t="s">
        <v>37</v>
      </c>
      <c r="C21" s="19" t="n">
        <v>2</v>
      </c>
      <c r="D21" s="20" t="n">
        <v>382111.59</v>
      </c>
    </row>
    <row r="22" customFormat="false" ht="15" hidden="false" customHeight="false" outlineLevel="0" collapsed="false">
      <c r="B22" s="21" t="s">
        <v>38</v>
      </c>
      <c r="C22" s="22" t="n">
        <v>3</v>
      </c>
      <c r="D22" s="23" t="n">
        <v>383275.74</v>
      </c>
    </row>
  </sheetData>
  <mergeCells count="20">
    <mergeCell ref="A1:N1"/>
    <mergeCell ref="A2:N2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3"/>
  </cols>
  <sheetData>
    <row r="1" customFormat="false" ht="37.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17" t="s">
        <v>41</v>
      </c>
      <c r="C4" s="17" t="s">
        <v>42</v>
      </c>
      <c r="D4" s="17" t="s">
        <v>43</v>
      </c>
      <c r="E4" s="17" t="s">
        <v>44</v>
      </c>
    </row>
    <row r="5" customFormat="false" ht="15" hidden="false" customHeight="false" outlineLevel="0" collapsed="false">
      <c r="B5" s="18" t="s">
        <v>45</v>
      </c>
      <c r="C5" s="19" t="n">
        <v>3</v>
      </c>
      <c r="D5" s="20" t="n">
        <v>611107.17</v>
      </c>
      <c r="E5" s="20" t="n">
        <v>319213.17</v>
      </c>
    </row>
    <row r="6" customFormat="false" ht="15" hidden="false" customHeight="false" outlineLevel="0" collapsed="false">
      <c r="B6" s="21" t="s">
        <v>46</v>
      </c>
      <c r="C6" s="22" t="n">
        <v>3</v>
      </c>
      <c r="D6" s="23" t="n">
        <v>296762.68</v>
      </c>
      <c r="E6" s="23" t="n">
        <v>240737.05</v>
      </c>
    </row>
    <row r="7" customFormat="false" ht="15" hidden="false" customHeight="false" outlineLevel="0" collapsed="false">
      <c r="B7" s="18" t="s">
        <v>47</v>
      </c>
      <c r="C7" s="19" t="n">
        <v>5</v>
      </c>
      <c r="D7" s="20" t="n">
        <v>823871.53</v>
      </c>
      <c r="E7" s="20" t="n">
        <v>483438.5</v>
      </c>
    </row>
    <row r="8" customFormat="false" ht="15" hidden="false" customHeight="false" outlineLevel="0" collapsed="false">
      <c r="B8" s="21" t="s">
        <v>48</v>
      </c>
      <c r="C8" s="22" t="n">
        <v>2</v>
      </c>
      <c r="D8" s="23" t="n">
        <v>171636.88</v>
      </c>
      <c r="E8" s="23" t="n">
        <v>35942.08</v>
      </c>
    </row>
    <row r="9" customFormat="false" ht="15" hidden="false" customHeight="false" outlineLevel="0" collapsed="false">
      <c r="B9" s="18" t="s">
        <v>49</v>
      </c>
      <c r="C9" s="19" t="n">
        <v>5</v>
      </c>
      <c r="D9" s="20" t="n">
        <v>679716.75</v>
      </c>
      <c r="E9" s="20" t="n">
        <v>60532.14</v>
      </c>
    </row>
    <row r="10" customFormat="false" ht="15" hidden="false" customHeight="false" outlineLevel="0" collapsed="false">
      <c r="B10" s="21" t="s">
        <v>50</v>
      </c>
      <c r="C10" s="22" t="n">
        <v>3</v>
      </c>
      <c r="D10" s="23" t="n">
        <v>462367.21</v>
      </c>
      <c r="E10" s="23" t="n">
        <v>135182.77</v>
      </c>
    </row>
    <row r="11" customFormat="false" ht="15" hidden="false" customHeight="false" outlineLevel="0" collapsed="false">
      <c r="B11" s="18" t="s">
        <v>51</v>
      </c>
      <c r="C11" s="19" t="n">
        <v>5</v>
      </c>
      <c r="D11" s="20" t="n">
        <v>667140.4</v>
      </c>
      <c r="E11" s="20" t="n">
        <v>227852.68</v>
      </c>
    </row>
    <row r="12" customFormat="false" ht="15" hidden="false" customHeight="false" outlineLevel="0" collapsed="false">
      <c r="B12" s="21" t="s">
        <v>52</v>
      </c>
      <c r="C12" s="22" t="n">
        <v>5</v>
      </c>
      <c r="D12" s="23" t="n">
        <v>599225.77</v>
      </c>
      <c r="E12" s="23" t="n">
        <v>364343.79</v>
      </c>
    </row>
    <row r="13" customFormat="false" ht="15" hidden="false" customHeight="false" outlineLevel="0" collapsed="false">
      <c r="B13" s="18" t="s">
        <v>53</v>
      </c>
      <c r="C13" s="19" t="n">
        <v>8</v>
      </c>
      <c r="D13" s="20" t="n">
        <v>954327.61</v>
      </c>
      <c r="E13" s="20" t="n">
        <v>502285.24</v>
      </c>
    </row>
    <row r="14" customFormat="false" ht="15" hidden="false" customHeight="false" outlineLevel="0" collapsed="false">
      <c r="B14" s="21" t="s">
        <v>54</v>
      </c>
      <c r="C14" s="22" t="n">
        <v>4</v>
      </c>
      <c r="D14" s="23" t="n">
        <v>525839.22</v>
      </c>
      <c r="E14" s="23" t="n">
        <v>114818.65</v>
      </c>
    </row>
    <row r="15" customFormat="false" ht="15" hidden="false" customHeight="false" outlineLevel="0" collapsed="false">
      <c r="B15" s="18" t="s">
        <v>55</v>
      </c>
      <c r="C15" s="19" t="n">
        <v>3</v>
      </c>
      <c r="D15" s="20" t="n">
        <v>290060.91</v>
      </c>
      <c r="E15" s="20" t="n">
        <v>46734.9</v>
      </c>
    </row>
    <row r="16" customFormat="false" ht="15" hidden="false" customHeight="false" outlineLevel="0" collapsed="false">
      <c r="B16" s="21" t="s">
        <v>56</v>
      </c>
      <c r="C16" s="22" t="n">
        <v>4</v>
      </c>
      <c r="D16" s="23" t="n">
        <v>496619.78</v>
      </c>
      <c r="E16" s="23" t="n">
        <v>354855.22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8" min="7" style="0" width="3"/>
  </cols>
  <sheetData>
    <row r="1" customFormat="false" ht="37.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B4" s="16" t="s">
        <v>59</v>
      </c>
    </row>
    <row r="5" customFormat="false" ht="15" hidden="false" customHeight="false" outlineLevel="0" collapsed="false">
      <c r="B5" s="17" t="s">
        <v>60</v>
      </c>
      <c r="C5" s="17" t="s">
        <v>2</v>
      </c>
      <c r="D5" s="17" t="s">
        <v>43</v>
      </c>
      <c r="E5" s="17" t="s">
        <v>44</v>
      </c>
      <c r="F5" s="17" t="s">
        <v>61</v>
      </c>
    </row>
    <row r="6" customFormat="false" ht="15" hidden="false" customHeight="false" outlineLevel="0" collapsed="false">
      <c r="B6" s="18" t="s">
        <v>24</v>
      </c>
      <c r="C6" s="19" t="n">
        <v>15</v>
      </c>
      <c r="D6" s="20" t="n">
        <v>2219539.11</v>
      </c>
      <c r="E6" s="20" t="n">
        <v>1448290.79</v>
      </c>
      <c r="F6" s="20" t="n">
        <v>65.3</v>
      </c>
    </row>
    <row r="7" customFormat="false" ht="15" hidden="false" customHeight="false" outlineLevel="0" collapsed="false">
      <c r="B7" s="21" t="s">
        <v>26</v>
      </c>
      <c r="C7" s="22" t="n">
        <v>10</v>
      </c>
      <c r="D7" s="23" t="n">
        <v>1292590.52</v>
      </c>
      <c r="E7" s="23" t="n">
        <v>394548.58</v>
      </c>
      <c r="F7" s="23" t="n">
        <v>30.5</v>
      </c>
    </row>
    <row r="8" customFormat="false" ht="15" hidden="false" customHeight="false" outlineLevel="0" collapsed="false">
      <c r="B8" s="18" t="s">
        <v>28</v>
      </c>
      <c r="C8" s="19" t="n">
        <v>8</v>
      </c>
      <c r="D8" s="20" t="n">
        <v>1098624.27</v>
      </c>
      <c r="E8" s="20" t="n">
        <v>457574.51</v>
      </c>
      <c r="F8" s="20" t="n">
        <v>41.6</v>
      </c>
    </row>
    <row r="9" customFormat="false" ht="15" hidden="false" customHeight="false" outlineLevel="0" collapsed="false">
      <c r="B9" s="21" t="s">
        <v>30</v>
      </c>
      <c r="C9" s="22" t="n">
        <v>10</v>
      </c>
      <c r="D9" s="23" t="n">
        <v>988791.51</v>
      </c>
      <c r="E9" s="23" t="n">
        <v>304132.2</v>
      </c>
      <c r="F9" s="23" t="n">
        <v>30.8</v>
      </c>
    </row>
    <row r="10" customFormat="false" ht="15" hidden="false" customHeight="false" outlineLevel="0" collapsed="false">
      <c r="B10" s="18" t="s">
        <v>31</v>
      </c>
      <c r="C10" s="19" t="n">
        <v>7</v>
      </c>
      <c r="D10" s="20" t="n">
        <v>979130.5</v>
      </c>
      <c r="E10" s="20" t="n">
        <v>281390.11</v>
      </c>
      <c r="F10" s="20" t="n">
        <v>28.7</v>
      </c>
    </row>
    <row r="13" customFormat="false" ht="15" hidden="false" customHeight="false" outlineLevel="0" collapsed="false">
      <c r="B13" s="16" t="s">
        <v>62</v>
      </c>
    </row>
    <row r="14" customFormat="false" ht="15" hidden="false" customHeight="false" outlineLevel="0" collapsed="false">
      <c r="B14" s="17" t="s">
        <v>63</v>
      </c>
      <c r="C14" s="17" t="s">
        <v>2</v>
      </c>
      <c r="D14" s="17" t="s">
        <v>43</v>
      </c>
      <c r="E14" s="17" t="s">
        <v>44</v>
      </c>
      <c r="F14" s="17" t="s">
        <v>61</v>
      </c>
    </row>
    <row r="15" customFormat="false" ht="15" hidden="false" customHeight="false" outlineLevel="0" collapsed="false">
      <c r="B15" s="18" t="s">
        <v>64</v>
      </c>
      <c r="C15" s="19" t="n">
        <v>15</v>
      </c>
      <c r="D15" s="20" t="n">
        <v>2405833.15</v>
      </c>
      <c r="E15" s="20" t="n">
        <v>961364.87</v>
      </c>
      <c r="F15" s="20" t="n">
        <v>40</v>
      </c>
    </row>
    <row r="16" customFormat="false" ht="15" hidden="false" customHeight="false" outlineLevel="0" collapsed="false">
      <c r="B16" s="21" t="s">
        <v>65</v>
      </c>
      <c r="C16" s="22" t="n">
        <v>13</v>
      </c>
      <c r="D16" s="23" t="n">
        <v>1501009.81</v>
      </c>
      <c r="E16" s="23" t="n">
        <v>868046.72</v>
      </c>
      <c r="F16" s="23" t="n">
        <v>57.8</v>
      </c>
    </row>
    <row r="17" customFormat="false" ht="15" hidden="false" customHeight="false" outlineLevel="0" collapsed="false">
      <c r="B17" s="18" t="s">
        <v>66</v>
      </c>
      <c r="C17" s="19" t="n">
        <v>10</v>
      </c>
      <c r="D17" s="20" t="n">
        <v>1356171.04</v>
      </c>
      <c r="E17" s="20" t="n">
        <v>299705.91</v>
      </c>
      <c r="F17" s="20" t="n">
        <v>22.1</v>
      </c>
    </row>
    <row r="18" customFormat="false" ht="15" hidden="false" customHeight="false" outlineLevel="0" collapsed="false">
      <c r="B18" s="21" t="s">
        <v>67</v>
      </c>
      <c r="C18" s="22" t="n">
        <v>12</v>
      </c>
      <c r="D18" s="23" t="n">
        <v>1315661.91</v>
      </c>
      <c r="E18" s="23" t="n">
        <v>756818.69</v>
      </c>
      <c r="F18" s="23" t="n">
        <v>57.5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3"/>
  </cols>
  <sheetData>
    <row r="1" customFormat="false" ht="37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B4" s="16" t="s">
        <v>70</v>
      </c>
    </row>
    <row r="5" customFormat="false" ht="15" hidden="false" customHeight="false" outlineLevel="0" collapsed="false">
      <c r="B5" s="17" t="s">
        <v>33</v>
      </c>
      <c r="C5" s="17" t="s">
        <v>71</v>
      </c>
      <c r="D5" s="17" t="s">
        <v>72</v>
      </c>
    </row>
    <row r="6" customFormat="false" ht="15" hidden="false" customHeight="false" outlineLevel="0" collapsed="false">
      <c r="B6" s="18" t="s">
        <v>35</v>
      </c>
      <c r="C6" s="19" t="n">
        <v>4</v>
      </c>
      <c r="D6" s="20" t="n">
        <v>368185.34</v>
      </c>
    </row>
    <row r="7" customFormat="false" ht="15" hidden="false" customHeight="false" outlineLevel="0" collapsed="false">
      <c r="B7" s="21" t="s">
        <v>36</v>
      </c>
      <c r="C7" s="22" t="n">
        <v>2</v>
      </c>
      <c r="D7" s="23" t="n">
        <v>218542.18</v>
      </c>
    </row>
    <row r="8" customFormat="false" ht="15" hidden="false" customHeight="false" outlineLevel="0" collapsed="false">
      <c r="B8" s="18" t="s">
        <v>37</v>
      </c>
      <c r="C8" s="19" t="n">
        <v>2</v>
      </c>
      <c r="D8" s="20" t="n">
        <v>382111.59</v>
      </c>
    </row>
    <row r="9" customFormat="false" ht="15" hidden="false" customHeight="false" outlineLevel="0" collapsed="false">
      <c r="B9" s="21" t="s">
        <v>38</v>
      </c>
      <c r="C9" s="22" t="n">
        <v>3</v>
      </c>
      <c r="D9" s="23" t="n">
        <v>383275.74</v>
      </c>
    </row>
    <row r="10" customFormat="false" ht="15" hidden="false" customHeight="false" outlineLevel="0" collapsed="false">
      <c r="B10" s="24" t="s">
        <v>73</v>
      </c>
      <c r="C10" s="25" t="n">
        <f aca="false">SUM(C6:C9)</f>
        <v>11</v>
      </c>
      <c r="D10" s="25" t="n">
        <f aca="false">SUM(D6:D9)</f>
        <v>1352114.85</v>
      </c>
    </row>
    <row r="12" customFormat="false" ht="15" hidden="false" customHeight="false" outlineLevel="0" collapsed="false">
      <c r="B12" s="16" t="s">
        <v>74</v>
      </c>
    </row>
    <row r="13" customFormat="false" ht="15" hidden="false" customHeight="false" outlineLevel="0" collapsed="false">
      <c r="B13" s="17" t="s">
        <v>75</v>
      </c>
      <c r="C13" s="17" t="s">
        <v>71</v>
      </c>
      <c r="D13" s="17" t="s">
        <v>76</v>
      </c>
    </row>
    <row r="14" customFormat="false" ht="15" hidden="false" customHeight="false" outlineLevel="0" collapsed="false">
      <c r="B14" s="18" t="s">
        <v>77</v>
      </c>
      <c r="C14" s="19" t="n">
        <v>2</v>
      </c>
      <c r="D14" s="20" t="n">
        <v>410435.24</v>
      </c>
    </row>
    <row r="15" customFormat="false" ht="15" hidden="false" customHeight="false" outlineLevel="0" collapsed="false">
      <c r="B15" s="21" t="s">
        <v>78</v>
      </c>
      <c r="C15" s="22" t="n">
        <v>1</v>
      </c>
      <c r="D15" s="23" t="n">
        <v>115484.19</v>
      </c>
    </row>
    <row r="16" customFormat="false" ht="15" hidden="false" customHeight="false" outlineLevel="0" collapsed="false">
      <c r="B16" s="18" t="s">
        <v>79</v>
      </c>
      <c r="C16" s="19" t="n">
        <v>1</v>
      </c>
      <c r="D16" s="20" t="n">
        <v>139720.69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3"/>
  </cols>
  <sheetData>
    <row r="1" customFormat="false" ht="37.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7" t="s">
        <v>82</v>
      </c>
      <c r="B4" s="17" t="s">
        <v>21</v>
      </c>
      <c r="C4" s="17" t="s">
        <v>83</v>
      </c>
      <c r="D4" s="17" t="s">
        <v>84</v>
      </c>
      <c r="E4" s="17" t="s">
        <v>85</v>
      </c>
      <c r="F4" s="17" t="s">
        <v>86</v>
      </c>
      <c r="G4" s="17" t="s">
        <v>15</v>
      </c>
      <c r="H4" s="17" t="s">
        <v>87</v>
      </c>
      <c r="I4" s="17" t="s">
        <v>88</v>
      </c>
      <c r="J4" s="17" t="s">
        <v>89</v>
      </c>
      <c r="K4" s="17" t="s">
        <v>75</v>
      </c>
      <c r="L4" s="17" t="s">
        <v>33</v>
      </c>
    </row>
    <row r="5" customFormat="false" ht="15" hidden="false" customHeight="false" outlineLevel="0" collapsed="false">
      <c r="A5" s="26" t="s">
        <v>90</v>
      </c>
      <c r="B5" s="26" t="s">
        <v>28</v>
      </c>
      <c r="C5" s="26" t="s">
        <v>67</v>
      </c>
      <c r="D5" s="27" t="s">
        <v>91</v>
      </c>
      <c r="E5" s="27" t="s">
        <v>92</v>
      </c>
      <c r="F5" s="27" t="s">
        <v>93</v>
      </c>
      <c r="G5" s="27" t="s">
        <v>27</v>
      </c>
      <c r="H5" s="28" t="n">
        <v>167969.6</v>
      </c>
      <c r="I5" s="28" t="n">
        <v>121228.85</v>
      </c>
      <c r="J5" s="28" t="n">
        <v>0</v>
      </c>
      <c r="K5" s="26" t="s">
        <v>93</v>
      </c>
      <c r="L5" s="27" t="s">
        <v>35</v>
      </c>
    </row>
    <row r="6" customFormat="false" ht="15" hidden="false" customHeight="false" outlineLevel="0" collapsed="false">
      <c r="A6" s="29" t="s">
        <v>94</v>
      </c>
      <c r="B6" s="29" t="s">
        <v>24</v>
      </c>
      <c r="C6" s="29" t="s">
        <v>64</v>
      </c>
      <c r="D6" s="30" t="s">
        <v>95</v>
      </c>
      <c r="E6" s="30" t="s">
        <v>96</v>
      </c>
      <c r="F6" s="30" t="s">
        <v>97</v>
      </c>
      <c r="G6" s="30" t="s">
        <v>23</v>
      </c>
      <c r="H6" s="31" t="n">
        <v>35197.6</v>
      </c>
      <c r="I6" s="31" t="n">
        <v>29053.92</v>
      </c>
      <c r="J6" s="31" t="n">
        <v>29053.92</v>
      </c>
      <c r="K6" s="29" t="s">
        <v>93</v>
      </c>
      <c r="L6" s="30" t="s">
        <v>93</v>
      </c>
    </row>
    <row r="7" customFormat="false" ht="15" hidden="false" customHeight="false" outlineLevel="0" collapsed="false">
      <c r="A7" s="29" t="s">
        <v>98</v>
      </c>
      <c r="B7" s="29" t="s">
        <v>24</v>
      </c>
      <c r="C7" s="29" t="s">
        <v>64</v>
      </c>
      <c r="D7" s="30" t="s">
        <v>99</v>
      </c>
      <c r="E7" s="30" t="s">
        <v>100</v>
      </c>
      <c r="F7" s="30" t="s">
        <v>101</v>
      </c>
      <c r="G7" s="30" t="s">
        <v>23</v>
      </c>
      <c r="H7" s="31" t="n">
        <v>237650.68</v>
      </c>
      <c r="I7" s="31" t="n">
        <v>211316.08</v>
      </c>
      <c r="J7" s="31" t="n">
        <v>211316.08</v>
      </c>
      <c r="K7" s="29" t="s">
        <v>93</v>
      </c>
      <c r="L7" s="30" t="s">
        <v>93</v>
      </c>
    </row>
    <row r="8" customFormat="false" ht="15" hidden="false" customHeight="false" outlineLevel="0" collapsed="false">
      <c r="A8" s="29" t="s">
        <v>102</v>
      </c>
      <c r="B8" s="29" t="s">
        <v>30</v>
      </c>
      <c r="C8" s="29" t="s">
        <v>67</v>
      </c>
      <c r="D8" s="30" t="s">
        <v>103</v>
      </c>
      <c r="E8" s="30" t="s">
        <v>104</v>
      </c>
      <c r="F8" s="30" t="s">
        <v>105</v>
      </c>
      <c r="G8" s="30" t="s">
        <v>23</v>
      </c>
      <c r="H8" s="31" t="n">
        <v>145816.25</v>
      </c>
      <c r="I8" s="31" t="n">
        <v>107897.09</v>
      </c>
      <c r="J8" s="31" t="n">
        <v>107897.09</v>
      </c>
      <c r="K8" s="29" t="s">
        <v>93</v>
      </c>
      <c r="L8" s="30" t="s">
        <v>93</v>
      </c>
    </row>
    <row r="9" customFormat="false" ht="15" hidden="false" customHeight="false" outlineLevel="0" collapsed="false">
      <c r="A9" s="32" t="s">
        <v>106</v>
      </c>
      <c r="B9" s="32" t="s">
        <v>24</v>
      </c>
      <c r="C9" s="32" t="s">
        <v>66</v>
      </c>
      <c r="D9" s="33" t="s">
        <v>107</v>
      </c>
      <c r="E9" s="33" t="s">
        <v>108</v>
      </c>
      <c r="F9" s="33" t="s">
        <v>93</v>
      </c>
      <c r="G9" s="33" t="s">
        <v>25</v>
      </c>
      <c r="H9" s="34" t="n">
        <v>206789.69</v>
      </c>
      <c r="I9" s="34" t="n">
        <v>0</v>
      </c>
      <c r="J9" s="34" t="n">
        <v>0</v>
      </c>
      <c r="K9" s="32" t="s">
        <v>93</v>
      </c>
      <c r="L9" s="33" t="s">
        <v>93</v>
      </c>
    </row>
    <row r="10" customFormat="false" ht="15" hidden="false" customHeight="false" outlineLevel="0" collapsed="false">
      <c r="A10" s="32" t="s">
        <v>109</v>
      </c>
      <c r="B10" s="32" t="s">
        <v>26</v>
      </c>
      <c r="C10" s="32" t="s">
        <v>66</v>
      </c>
      <c r="D10" s="33" t="s">
        <v>110</v>
      </c>
      <c r="E10" s="33" t="s">
        <v>111</v>
      </c>
      <c r="F10" s="33" t="s">
        <v>93</v>
      </c>
      <c r="G10" s="33" t="s">
        <v>25</v>
      </c>
      <c r="H10" s="34" t="n">
        <v>182346.03</v>
      </c>
      <c r="I10" s="34" t="n">
        <v>0</v>
      </c>
      <c r="J10" s="34" t="n">
        <v>0</v>
      </c>
      <c r="K10" s="32" t="s">
        <v>93</v>
      </c>
      <c r="L10" s="33" t="s">
        <v>93</v>
      </c>
    </row>
    <row r="11" customFormat="false" ht="15" hidden="false" customHeight="false" outlineLevel="0" collapsed="false">
      <c r="A11" s="32" t="s">
        <v>112</v>
      </c>
      <c r="B11" s="32" t="s">
        <v>31</v>
      </c>
      <c r="C11" s="32" t="s">
        <v>64</v>
      </c>
      <c r="D11" s="33" t="s">
        <v>113</v>
      </c>
      <c r="E11" s="33" t="s">
        <v>114</v>
      </c>
      <c r="F11" s="33" t="s">
        <v>93</v>
      </c>
      <c r="G11" s="33" t="s">
        <v>25</v>
      </c>
      <c r="H11" s="34" t="n">
        <v>115484.19</v>
      </c>
      <c r="I11" s="34" t="n">
        <v>0</v>
      </c>
      <c r="J11" s="34" t="n">
        <v>0</v>
      </c>
      <c r="K11" s="32" t="s">
        <v>78</v>
      </c>
      <c r="L11" s="33" t="s">
        <v>93</v>
      </c>
    </row>
    <row r="12" customFormat="false" ht="15" hidden="false" customHeight="false" outlineLevel="0" collapsed="false">
      <c r="A12" s="29" t="s">
        <v>115</v>
      </c>
      <c r="B12" s="29" t="s">
        <v>24</v>
      </c>
      <c r="C12" s="29" t="s">
        <v>65</v>
      </c>
      <c r="D12" s="30" t="s">
        <v>116</v>
      </c>
      <c r="E12" s="30" t="s">
        <v>117</v>
      </c>
      <c r="F12" s="30" t="s">
        <v>118</v>
      </c>
      <c r="G12" s="30" t="s">
        <v>23</v>
      </c>
      <c r="H12" s="31" t="n">
        <v>201679.18</v>
      </c>
      <c r="I12" s="31" t="n">
        <v>183467.21</v>
      </c>
      <c r="J12" s="31" t="n">
        <v>183467.21</v>
      </c>
      <c r="K12" s="29" t="s">
        <v>93</v>
      </c>
      <c r="L12" s="30" t="s">
        <v>93</v>
      </c>
    </row>
    <row r="13" customFormat="false" ht="15" hidden="false" customHeight="false" outlineLevel="0" collapsed="false">
      <c r="A13" s="29" t="s">
        <v>119</v>
      </c>
      <c r="B13" s="29" t="s">
        <v>24</v>
      </c>
      <c r="C13" s="29" t="s">
        <v>64</v>
      </c>
      <c r="D13" s="30" t="s">
        <v>120</v>
      </c>
      <c r="E13" s="30" t="s">
        <v>121</v>
      </c>
      <c r="F13" s="30" t="s">
        <v>122</v>
      </c>
      <c r="G13" s="30" t="s">
        <v>23</v>
      </c>
      <c r="H13" s="31" t="n">
        <v>186419.64</v>
      </c>
      <c r="I13" s="31" t="n">
        <v>146596.92</v>
      </c>
      <c r="J13" s="31" t="n">
        <v>146596.92</v>
      </c>
      <c r="K13" s="29" t="s">
        <v>93</v>
      </c>
      <c r="L13" s="30" t="s">
        <v>93</v>
      </c>
    </row>
    <row r="14" customFormat="false" ht="15" hidden="false" customHeight="false" outlineLevel="0" collapsed="false">
      <c r="A14" s="29" t="s">
        <v>123</v>
      </c>
      <c r="B14" s="29" t="s">
        <v>24</v>
      </c>
      <c r="C14" s="29" t="s">
        <v>65</v>
      </c>
      <c r="D14" s="30" t="s">
        <v>124</v>
      </c>
      <c r="E14" s="30" t="s">
        <v>125</v>
      </c>
      <c r="F14" s="30" t="s">
        <v>126</v>
      </c>
      <c r="G14" s="30" t="s">
        <v>23</v>
      </c>
      <c r="H14" s="31" t="n">
        <v>50716.37</v>
      </c>
      <c r="I14" s="31" t="n">
        <v>42940.99</v>
      </c>
      <c r="J14" s="31" t="n">
        <v>42940.99</v>
      </c>
      <c r="K14" s="29" t="s">
        <v>93</v>
      </c>
      <c r="L14" s="30" t="s">
        <v>93</v>
      </c>
    </row>
    <row r="15" customFormat="false" ht="15" hidden="false" customHeight="false" outlineLevel="0" collapsed="false">
      <c r="A15" s="29" t="s">
        <v>127</v>
      </c>
      <c r="B15" s="29" t="s">
        <v>24</v>
      </c>
      <c r="C15" s="29" t="s">
        <v>67</v>
      </c>
      <c r="D15" s="30" t="s">
        <v>128</v>
      </c>
      <c r="E15" s="30" t="s">
        <v>129</v>
      </c>
      <c r="F15" s="30" t="s">
        <v>130</v>
      </c>
      <c r="G15" s="30" t="s">
        <v>23</v>
      </c>
      <c r="H15" s="31" t="n">
        <v>154676.92</v>
      </c>
      <c r="I15" s="31" t="n">
        <v>135182.77</v>
      </c>
      <c r="J15" s="31" t="n">
        <v>135182.77</v>
      </c>
      <c r="K15" s="29" t="s">
        <v>93</v>
      </c>
      <c r="L15" s="30" t="s">
        <v>93</v>
      </c>
    </row>
    <row r="16" customFormat="false" ht="15" hidden="false" customHeight="false" outlineLevel="0" collapsed="false">
      <c r="A16" s="35" t="s">
        <v>131</v>
      </c>
      <c r="B16" s="35" t="s">
        <v>26</v>
      </c>
      <c r="C16" s="35" t="s">
        <v>64</v>
      </c>
      <c r="D16" s="36" t="s">
        <v>132</v>
      </c>
      <c r="E16" s="36" t="s">
        <v>133</v>
      </c>
      <c r="F16" s="36" t="s">
        <v>93</v>
      </c>
      <c r="G16" s="36" t="s">
        <v>29</v>
      </c>
      <c r="H16" s="37" t="n">
        <v>171075.77</v>
      </c>
      <c r="I16" s="37" t="n">
        <v>122866.76</v>
      </c>
      <c r="J16" s="37" t="n">
        <v>0</v>
      </c>
      <c r="K16" s="35" t="s">
        <v>93</v>
      </c>
      <c r="L16" s="36" t="s">
        <v>37</v>
      </c>
    </row>
    <row r="17" customFormat="false" ht="15" hidden="false" customHeight="false" outlineLevel="0" collapsed="false">
      <c r="A17" s="26" t="s">
        <v>134</v>
      </c>
      <c r="B17" s="26" t="s">
        <v>28</v>
      </c>
      <c r="C17" s="26" t="s">
        <v>66</v>
      </c>
      <c r="D17" s="27" t="s">
        <v>135</v>
      </c>
      <c r="E17" s="27" t="s">
        <v>136</v>
      </c>
      <c r="F17" s="27" t="s">
        <v>93</v>
      </c>
      <c r="G17" s="27" t="s">
        <v>27</v>
      </c>
      <c r="H17" s="28" t="n">
        <v>223454.47</v>
      </c>
      <c r="I17" s="28" t="n">
        <v>179680.09</v>
      </c>
      <c r="J17" s="28" t="n">
        <v>0</v>
      </c>
      <c r="K17" s="26" t="s">
        <v>93</v>
      </c>
      <c r="L17" s="27" t="s">
        <v>38</v>
      </c>
    </row>
    <row r="18" customFormat="false" ht="15" hidden="false" customHeight="false" outlineLevel="0" collapsed="false">
      <c r="A18" s="26" t="s">
        <v>137</v>
      </c>
      <c r="B18" s="26" t="s">
        <v>30</v>
      </c>
      <c r="C18" s="26" t="s">
        <v>64</v>
      </c>
      <c r="D18" s="27" t="s">
        <v>138</v>
      </c>
      <c r="E18" s="27" t="s">
        <v>139</v>
      </c>
      <c r="F18" s="27" t="s">
        <v>93</v>
      </c>
      <c r="G18" s="27" t="s">
        <v>27</v>
      </c>
      <c r="H18" s="28" t="n">
        <v>28854.29</v>
      </c>
      <c r="I18" s="28" t="n">
        <v>26848.05</v>
      </c>
      <c r="J18" s="28" t="n">
        <v>0</v>
      </c>
      <c r="K18" s="26" t="s">
        <v>93</v>
      </c>
      <c r="L18" s="27" t="s">
        <v>36</v>
      </c>
    </row>
    <row r="19" customFormat="false" ht="15" hidden="false" customHeight="false" outlineLevel="0" collapsed="false">
      <c r="A19" s="29" t="s">
        <v>140</v>
      </c>
      <c r="B19" s="29" t="s">
        <v>30</v>
      </c>
      <c r="C19" s="29" t="s">
        <v>64</v>
      </c>
      <c r="D19" s="30" t="s">
        <v>141</v>
      </c>
      <c r="E19" s="30" t="s">
        <v>142</v>
      </c>
      <c r="F19" s="30" t="s">
        <v>111</v>
      </c>
      <c r="G19" s="30" t="s">
        <v>23</v>
      </c>
      <c r="H19" s="31" t="n">
        <v>54096.08</v>
      </c>
      <c r="I19" s="31" t="n">
        <v>44385.47</v>
      </c>
      <c r="J19" s="31" t="n">
        <v>44385.47</v>
      </c>
      <c r="K19" s="29" t="s">
        <v>93</v>
      </c>
      <c r="L19" s="30" t="s">
        <v>93</v>
      </c>
    </row>
    <row r="20" customFormat="false" ht="15" hidden="false" customHeight="false" outlineLevel="0" collapsed="false">
      <c r="A20" s="35" t="s">
        <v>143</v>
      </c>
      <c r="B20" s="35" t="s">
        <v>30</v>
      </c>
      <c r="C20" s="35" t="s">
        <v>66</v>
      </c>
      <c r="D20" s="36" t="s">
        <v>144</v>
      </c>
      <c r="E20" s="36" t="s">
        <v>145</v>
      </c>
      <c r="F20" s="36" t="s">
        <v>93</v>
      </c>
      <c r="G20" s="36" t="s">
        <v>29</v>
      </c>
      <c r="H20" s="37" t="n">
        <v>112594.68</v>
      </c>
      <c r="I20" s="37" t="n">
        <v>90934.99</v>
      </c>
      <c r="J20" s="37" t="n">
        <v>0</v>
      </c>
      <c r="K20" s="35" t="s">
        <v>93</v>
      </c>
      <c r="L20" s="36" t="s">
        <v>38</v>
      </c>
    </row>
    <row r="21" customFormat="false" ht="15" hidden="false" customHeight="false" outlineLevel="0" collapsed="false">
      <c r="A21" s="29" t="s">
        <v>146</v>
      </c>
      <c r="B21" s="29" t="s">
        <v>26</v>
      </c>
      <c r="C21" s="29" t="s">
        <v>66</v>
      </c>
      <c r="D21" s="30" t="s">
        <v>147</v>
      </c>
      <c r="E21" s="30" t="s">
        <v>148</v>
      </c>
      <c r="F21" s="30" t="s">
        <v>149</v>
      </c>
      <c r="G21" s="30" t="s">
        <v>23</v>
      </c>
      <c r="H21" s="31" t="n">
        <v>69509.86</v>
      </c>
      <c r="I21" s="31" t="n">
        <v>53522.65</v>
      </c>
      <c r="J21" s="31" t="n">
        <v>53522.65</v>
      </c>
      <c r="K21" s="29" t="s">
        <v>93</v>
      </c>
      <c r="L21" s="30" t="s">
        <v>93</v>
      </c>
    </row>
    <row r="22" customFormat="false" ht="15" hidden="false" customHeight="false" outlineLevel="0" collapsed="false">
      <c r="A22" s="29" t="s">
        <v>150</v>
      </c>
      <c r="B22" s="29" t="s">
        <v>26</v>
      </c>
      <c r="C22" s="29" t="s">
        <v>65</v>
      </c>
      <c r="D22" s="30" t="s">
        <v>151</v>
      </c>
      <c r="E22" s="30" t="s">
        <v>152</v>
      </c>
      <c r="F22" s="30" t="s">
        <v>153</v>
      </c>
      <c r="G22" s="30" t="s">
        <v>23</v>
      </c>
      <c r="H22" s="31" t="n">
        <v>49233.95</v>
      </c>
      <c r="I22" s="31" t="n">
        <v>42359.77</v>
      </c>
      <c r="J22" s="31" t="n">
        <v>42359.77</v>
      </c>
      <c r="K22" s="29" t="s">
        <v>93</v>
      </c>
      <c r="L22" s="30" t="s">
        <v>93</v>
      </c>
    </row>
    <row r="23" customFormat="false" ht="15" hidden="false" customHeight="false" outlineLevel="0" collapsed="false">
      <c r="A23" s="32" t="s">
        <v>154</v>
      </c>
      <c r="B23" s="32" t="s">
        <v>31</v>
      </c>
      <c r="C23" s="32" t="s">
        <v>64</v>
      </c>
      <c r="D23" s="33" t="s">
        <v>155</v>
      </c>
      <c r="E23" s="33" t="s">
        <v>156</v>
      </c>
      <c r="F23" s="33" t="s">
        <v>93</v>
      </c>
      <c r="G23" s="33" t="s">
        <v>25</v>
      </c>
      <c r="H23" s="34" t="n">
        <v>238302.63</v>
      </c>
      <c r="I23" s="34" t="n">
        <v>0</v>
      </c>
      <c r="J23" s="34" t="n">
        <v>0</v>
      </c>
      <c r="K23" s="32" t="s">
        <v>93</v>
      </c>
      <c r="L23" s="33" t="s">
        <v>93</v>
      </c>
    </row>
    <row r="24" customFormat="false" ht="15" hidden="false" customHeight="false" outlineLevel="0" collapsed="false">
      <c r="A24" s="26" t="s">
        <v>157</v>
      </c>
      <c r="B24" s="26" t="s">
        <v>30</v>
      </c>
      <c r="C24" s="26" t="s">
        <v>67</v>
      </c>
      <c r="D24" s="27" t="s">
        <v>158</v>
      </c>
      <c r="E24" s="27" t="s">
        <v>142</v>
      </c>
      <c r="F24" s="27" t="s">
        <v>93</v>
      </c>
      <c r="G24" s="27" t="s">
        <v>27</v>
      </c>
      <c r="H24" s="28" t="n">
        <v>39331.22</v>
      </c>
      <c r="I24" s="28" t="n">
        <v>35016.07</v>
      </c>
      <c r="J24" s="28" t="n">
        <v>0</v>
      </c>
      <c r="K24" s="26" t="s">
        <v>93</v>
      </c>
      <c r="L24" s="27" t="s">
        <v>35</v>
      </c>
    </row>
    <row r="25" customFormat="false" ht="15" hidden="false" customHeight="false" outlineLevel="0" collapsed="false">
      <c r="A25" s="29" t="s">
        <v>159</v>
      </c>
      <c r="B25" s="29" t="s">
        <v>24</v>
      </c>
      <c r="C25" s="29" t="s">
        <v>66</v>
      </c>
      <c r="D25" s="30" t="s">
        <v>156</v>
      </c>
      <c r="E25" s="30" t="s">
        <v>160</v>
      </c>
      <c r="F25" s="30" t="s">
        <v>161</v>
      </c>
      <c r="G25" s="30" t="s">
        <v>23</v>
      </c>
      <c r="H25" s="31" t="n">
        <v>40833.15</v>
      </c>
      <c r="I25" s="31" t="n">
        <v>35942.08</v>
      </c>
      <c r="J25" s="31" t="n">
        <v>35942.08</v>
      </c>
      <c r="K25" s="29" t="s">
        <v>93</v>
      </c>
      <c r="L25" s="30" t="s">
        <v>93</v>
      </c>
    </row>
    <row r="26" customFormat="false" ht="15" hidden="false" customHeight="false" outlineLevel="0" collapsed="false">
      <c r="A26" s="29" t="s">
        <v>162</v>
      </c>
      <c r="B26" s="29" t="s">
        <v>26</v>
      </c>
      <c r="C26" s="29" t="s">
        <v>64</v>
      </c>
      <c r="D26" s="30" t="s">
        <v>163</v>
      </c>
      <c r="E26" s="30" t="s">
        <v>164</v>
      </c>
      <c r="F26" s="30" t="s">
        <v>96</v>
      </c>
      <c r="G26" s="30" t="s">
        <v>23</v>
      </c>
      <c r="H26" s="31" t="n">
        <v>159228.26</v>
      </c>
      <c r="I26" s="31" t="n">
        <v>114818.65</v>
      </c>
      <c r="J26" s="31" t="n">
        <v>114818.65</v>
      </c>
      <c r="K26" s="29" t="s">
        <v>93</v>
      </c>
      <c r="L26" s="30" t="s">
        <v>93</v>
      </c>
    </row>
    <row r="27" customFormat="false" ht="15" hidden="false" customHeight="false" outlineLevel="0" collapsed="false">
      <c r="A27" s="29" t="s">
        <v>165</v>
      </c>
      <c r="B27" s="29" t="s">
        <v>24</v>
      </c>
      <c r="C27" s="29" t="s">
        <v>67</v>
      </c>
      <c r="D27" s="30" t="s">
        <v>166</v>
      </c>
      <c r="E27" s="30" t="s">
        <v>167</v>
      </c>
      <c r="F27" s="30" t="s">
        <v>168</v>
      </c>
      <c r="G27" s="30" t="s">
        <v>23</v>
      </c>
      <c r="H27" s="31" t="n">
        <v>239534.99</v>
      </c>
      <c r="I27" s="31" t="n">
        <v>210954.57</v>
      </c>
      <c r="J27" s="31" t="n">
        <v>210954.57</v>
      </c>
      <c r="K27" s="29" t="s">
        <v>93</v>
      </c>
      <c r="L27" s="30" t="s">
        <v>93</v>
      </c>
    </row>
    <row r="28" customFormat="false" ht="15" hidden="false" customHeight="false" outlineLevel="0" collapsed="false">
      <c r="A28" s="26" t="s">
        <v>169</v>
      </c>
      <c r="B28" s="26" t="s">
        <v>28</v>
      </c>
      <c r="C28" s="26" t="s">
        <v>65</v>
      </c>
      <c r="D28" s="27" t="s">
        <v>170</v>
      </c>
      <c r="E28" s="27" t="s">
        <v>171</v>
      </c>
      <c r="F28" s="27" t="s">
        <v>93</v>
      </c>
      <c r="G28" s="27" t="s">
        <v>27</v>
      </c>
      <c r="H28" s="28" t="n">
        <v>128701.14</v>
      </c>
      <c r="I28" s="28" t="n">
        <v>93406.83</v>
      </c>
      <c r="J28" s="28" t="n">
        <v>0</v>
      </c>
      <c r="K28" s="26" t="s">
        <v>93</v>
      </c>
      <c r="L28" s="27" t="s">
        <v>35</v>
      </c>
    </row>
    <row r="29" customFormat="false" ht="15" hidden="false" customHeight="false" outlineLevel="0" collapsed="false">
      <c r="A29" s="29" t="s">
        <v>172</v>
      </c>
      <c r="B29" s="29" t="s">
        <v>28</v>
      </c>
      <c r="C29" s="29" t="s">
        <v>66</v>
      </c>
      <c r="D29" s="30" t="s">
        <v>173</v>
      </c>
      <c r="E29" s="30" t="s">
        <v>174</v>
      </c>
      <c r="F29" s="30" t="s">
        <v>175</v>
      </c>
      <c r="G29" s="30" t="s">
        <v>23</v>
      </c>
      <c r="H29" s="31" t="n">
        <v>136338.61</v>
      </c>
      <c r="I29" s="31" t="n">
        <v>103830.65</v>
      </c>
      <c r="J29" s="31" t="n">
        <v>103830.65</v>
      </c>
      <c r="K29" s="29" t="s">
        <v>93</v>
      </c>
      <c r="L29" s="30" t="s">
        <v>93</v>
      </c>
    </row>
    <row r="30" customFormat="false" ht="15" hidden="false" customHeight="false" outlineLevel="0" collapsed="false">
      <c r="A30" s="29" t="s">
        <v>176</v>
      </c>
      <c r="B30" s="29" t="s">
        <v>24</v>
      </c>
      <c r="C30" s="29" t="s">
        <v>65</v>
      </c>
      <c r="D30" s="30" t="s">
        <v>177</v>
      </c>
      <c r="E30" s="30" t="s">
        <v>178</v>
      </c>
      <c r="F30" s="30" t="s">
        <v>179</v>
      </c>
      <c r="G30" s="30" t="s">
        <v>23</v>
      </c>
      <c r="H30" s="31" t="n">
        <v>193163.6</v>
      </c>
      <c r="I30" s="31" t="n">
        <v>152488.54</v>
      </c>
      <c r="J30" s="31" t="n">
        <v>152488.54</v>
      </c>
      <c r="K30" s="29" t="s">
        <v>93</v>
      </c>
      <c r="L30" s="30" t="s">
        <v>93</v>
      </c>
    </row>
    <row r="31" customFormat="false" ht="15" hidden="false" customHeight="false" outlineLevel="0" collapsed="false">
      <c r="A31" s="29" t="s">
        <v>180</v>
      </c>
      <c r="B31" s="29" t="s">
        <v>26</v>
      </c>
      <c r="C31" s="29" t="s">
        <v>65</v>
      </c>
      <c r="D31" s="30" t="s">
        <v>181</v>
      </c>
      <c r="E31" s="30" t="s">
        <v>182</v>
      </c>
      <c r="F31" s="30" t="s">
        <v>174</v>
      </c>
      <c r="G31" s="30" t="s">
        <v>23</v>
      </c>
      <c r="H31" s="31" t="n">
        <v>98588.6</v>
      </c>
      <c r="I31" s="31" t="n">
        <v>75601.47</v>
      </c>
      <c r="J31" s="31" t="n">
        <v>75601.47</v>
      </c>
      <c r="K31" s="29" t="s">
        <v>93</v>
      </c>
      <c r="L31" s="30" t="s">
        <v>93</v>
      </c>
    </row>
    <row r="32" customFormat="false" ht="15" hidden="false" customHeight="false" outlineLevel="0" collapsed="false">
      <c r="A32" s="32" t="s">
        <v>183</v>
      </c>
      <c r="B32" s="32" t="s">
        <v>30</v>
      </c>
      <c r="C32" s="32" t="s">
        <v>64</v>
      </c>
      <c r="D32" s="33" t="s">
        <v>184</v>
      </c>
      <c r="E32" s="33" t="s">
        <v>185</v>
      </c>
      <c r="F32" s="33" t="s">
        <v>93</v>
      </c>
      <c r="G32" s="33" t="s">
        <v>25</v>
      </c>
      <c r="H32" s="34" t="n">
        <v>205705.14</v>
      </c>
      <c r="I32" s="34" t="n">
        <v>0</v>
      </c>
      <c r="J32" s="34" t="n">
        <v>0</v>
      </c>
      <c r="K32" s="32" t="s">
        <v>77</v>
      </c>
      <c r="L32" s="33" t="s">
        <v>93</v>
      </c>
    </row>
    <row r="33" customFormat="false" ht="15" hidden="false" customHeight="false" outlineLevel="0" collapsed="false">
      <c r="A33" s="32" t="s">
        <v>186</v>
      </c>
      <c r="B33" s="32" t="s">
        <v>24</v>
      </c>
      <c r="C33" s="32" t="s">
        <v>65</v>
      </c>
      <c r="D33" s="33" t="s">
        <v>167</v>
      </c>
      <c r="E33" s="33" t="s">
        <v>187</v>
      </c>
      <c r="F33" s="33" t="s">
        <v>93</v>
      </c>
      <c r="G33" s="33" t="s">
        <v>25</v>
      </c>
      <c r="H33" s="34" t="n">
        <v>130803.73</v>
      </c>
      <c r="I33" s="34" t="n">
        <v>0</v>
      </c>
      <c r="J33" s="34" t="n">
        <v>0</v>
      </c>
      <c r="K33" s="32" t="s">
        <v>93</v>
      </c>
      <c r="L33" s="33" t="s">
        <v>93</v>
      </c>
    </row>
    <row r="34" customFormat="false" ht="15" hidden="false" customHeight="false" outlineLevel="0" collapsed="false">
      <c r="A34" s="29" t="s">
        <v>188</v>
      </c>
      <c r="B34" s="29" t="s">
        <v>28</v>
      </c>
      <c r="C34" s="29" t="s">
        <v>65</v>
      </c>
      <c r="D34" s="30" t="s">
        <v>189</v>
      </c>
      <c r="E34" s="30" t="s">
        <v>190</v>
      </c>
      <c r="F34" s="30" t="s">
        <v>191</v>
      </c>
      <c r="G34" s="30" t="s">
        <v>23</v>
      </c>
      <c r="H34" s="31" t="n">
        <v>177742.66</v>
      </c>
      <c r="I34" s="31" t="n">
        <v>175423.92</v>
      </c>
      <c r="J34" s="31" t="n">
        <v>175423.92</v>
      </c>
      <c r="K34" s="29" t="s">
        <v>93</v>
      </c>
      <c r="L34" s="30" t="s">
        <v>93</v>
      </c>
    </row>
    <row r="35" customFormat="false" ht="15" hidden="false" customHeight="false" outlineLevel="0" collapsed="false">
      <c r="A35" s="29" t="s">
        <v>192</v>
      </c>
      <c r="B35" s="29" t="s">
        <v>31</v>
      </c>
      <c r="C35" s="29" t="s">
        <v>67</v>
      </c>
      <c r="D35" s="30" t="s">
        <v>193</v>
      </c>
      <c r="E35" s="30" t="s">
        <v>100</v>
      </c>
      <c r="F35" s="30" t="s">
        <v>104</v>
      </c>
      <c r="G35" s="30" t="s">
        <v>23</v>
      </c>
      <c r="H35" s="31" t="n">
        <v>68308.77</v>
      </c>
      <c r="I35" s="31" t="n">
        <v>51847.17</v>
      </c>
      <c r="J35" s="31" t="n">
        <v>51847.17</v>
      </c>
      <c r="K35" s="29" t="s">
        <v>93</v>
      </c>
      <c r="L35" s="30" t="s">
        <v>93</v>
      </c>
    </row>
    <row r="36" customFormat="false" ht="15" hidden="false" customHeight="false" outlineLevel="0" collapsed="false">
      <c r="A36" s="29" t="s">
        <v>194</v>
      </c>
      <c r="B36" s="29" t="s">
        <v>24</v>
      </c>
      <c r="C36" s="29" t="s">
        <v>64</v>
      </c>
      <c r="D36" s="30" t="s">
        <v>173</v>
      </c>
      <c r="E36" s="30" t="s">
        <v>96</v>
      </c>
      <c r="F36" s="30" t="s">
        <v>97</v>
      </c>
      <c r="G36" s="30" t="s">
        <v>23</v>
      </c>
      <c r="H36" s="31" t="n">
        <v>202916.28</v>
      </c>
      <c r="I36" s="31" t="n">
        <v>147202.28</v>
      </c>
      <c r="J36" s="31" t="n">
        <v>147202.28</v>
      </c>
      <c r="K36" s="29" t="s">
        <v>93</v>
      </c>
      <c r="L36" s="30" t="s">
        <v>93</v>
      </c>
    </row>
    <row r="37" customFormat="false" ht="15" hidden="false" customHeight="false" outlineLevel="0" collapsed="false">
      <c r="A37" s="29" t="s">
        <v>195</v>
      </c>
      <c r="B37" s="29" t="s">
        <v>28</v>
      </c>
      <c r="C37" s="29" t="s">
        <v>67</v>
      </c>
      <c r="D37" s="30" t="s">
        <v>196</v>
      </c>
      <c r="E37" s="30" t="s">
        <v>197</v>
      </c>
      <c r="F37" s="30" t="s">
        <v>198</v>
      </c>
      <c r="G37" s="30" t="s">
        <v>23</v>
      </c>
      <c r="H37" s="31" t="n">
        <v>127337.69</v>
      </c>
      <c r="I37" s="31" t="n">
        <v>95956.15</v>
      </c>
      <c r="J37" s="31" t="n">
        <v>95956.15</v>
      </c>
      <c r="K37" s="29" t="s">
        <v>93</v>
      </c>
      <c r="L37" s="30" t="s">
        <v>93</v>
      </c>
    </row>
    <row r="38" customFormat="false" ht="15" hidden="false" customHeight="false" outlineLevel="0" collapsed="false">
      <c r="A38" s="26" t="s">
        <v>199</v>
      </c>
      <c r="B38" s="26" t="s">
        <v>30</v>
      </c>
      <c r="C38" s="26" t="s">
        <v>66</v>
      </c>
      <c r="D38" s="27" t="s">
        <v>200</v>
      </c>
      <c r="E38" s="27" t="s">
        <v>201</v>
      </c>
      <c r="F38" s="27" t="s">
        <v>93</v>
      </c>
      <c r="G38" s="27" t="s">
        <v>27</v>
      </c>
      <c r="H38" s="28" t="n">
        <v>189687.89</v>
      </c>
      <c r="I38" s="28" t="n">
        <v>137613.97</v>
      </c>
      <c r="J38" s="28" t="n">
        <v>0</v>
      </c>
      <c r="K38" s="26" t="s">
        <v>93</v>
      </c>
      <c r="L38" s="27" t="s">
        <v>36</v>
      </c>
    </row>
    <row r="39" customFormat="false" ht="15" hidden="false" customHeight="false" outlineLevel="0" collapsed="false">
      <c r="A39" s="32" t="s">
        <v>202</v>
      </c>
      <c r="B39" s="32" t="s">
        <v>26</v>
      </c>
      <c r="C39" s="32" t="s">
        <v>64</v>
      </c>
      <c r="D39" s="33" t="s">
        <v>203</v>
      </c>
      <c r="E39" s="33" t="s">
        <v>204</v>
      </c>
      <c r="F39" s="33" t="s">
        <v>93</v>
      </c>
      <c r="G39" s="33" t="s">
        <v>25</v>
      </c>
      <c r="H39" s="34" t="n">
        <v>227640.24</v>
      </c>
      <c r="I39" s="34" t="n">
        <v>0</v>
      </c>
      <c r="J39" s="34" t="n">
        <v>0</v>
      </c>
      <c r="K39" s="32" t="s">
        <v>93</v>
      </c>
      <c r="L39" s="33" t="s">
        <v>93</v>
      </c>
    </row>
    <row r="40" customFormat="false" ht="15" hidden="false" customHeight="false" outlineLevel="0" collapsed="false">
      <c r="A40" s="29" t="s">
        <v>205</v>
      </c>
      <c r="B40" s="29" t="s">
        <v>24</v>
      </c>
      <c r="C40" s="29" t="s">
        <v>66</v>
      </c>
      <c r="D40" s="30" t="s">
        <v>206</v>
      </c>
      <c r="E40" s="30" t="s">
        <v>207</v>
      </c>
      <c r="F40" s="30" t="s">
        <v>208</v>
      </c>
      <c r="G40" s="30" t="s">
        <v>23</v>
      </c>
      <c r="H40" s="31" t="n">
        <v>143935.11</v>
      </c>
      <c r="I40" s="31" t="n">
        <v>106410.53</v>
      </c>
      <c r="J40" s="31" t="n">
        <v>106410.53</v>
      </c>
      <c r="K40" s="29" t="s">
        <v>93</v>
      </c>
      <c r="L40" s="30" t="s">
        <v>93</v>
      </c>
    </row>
    <row r="41" customFormat="false" ht="15" hidden="false" customHeight="false" outlineLevel="0" collapsed="false">
      <c r="A41" s="29" t="s">
        <v>209</v>
      </c>
      <c r="B41" s="29" t="s">
        <v>30</v>
      </c>
      <c r="C41" s="29" t="s">
        <v>65</v>
      </c>
      <c r="D41" s="30" t="s">
        <v>210</v>
      </c>
      <c r="E41" s="30" t="s">
        <v>211</v>
      </c>
      <c r="F41" s="30" t="s">
        <v>212</v>
      </c>
      <c r="G41" s="30" t="s">
        <v>23</v>
      </c>
      <c r="H41" s="31" t="n">
        <v>21578.53</v>
      </c>
      <c r="I41" s="31" t="n">
        <v>16482.41</v>
      </c>
      <c r="J41" s="31" t="n">
        <v>16482.41</v>
      </c>
      <c r="K41" s="29" t="s">
        <v>93</v>
      </c>
      <c r="L41" s="30" t="s">
        <v>93</v>
      </c>
    </row>
    <row r="42" customFormat="false" ht="15" hidden="false" customHeight="false" outlineLevel="0" collapsed="false">
      <c r="A42" s="26" t="s">
        <v>213</v>
      </c>
      <c r="B42" s="26" t="s">
        <v>31</v>
      </c>
      <c r="C42" s="26" t="s">
        <v>64</v>
      </c>
      <c r="D42" s="27" t="s">
        <v>214</v>
      </c>
      <c r="E42" s="27" t="s">
        <v>215</v>
      </c>
      <c r="F42" s="27" t="s">
        <v>93</v>
      </c>
      <c r="G42" s="27" t="s">
        <v>27</v>
      </c>
      <c r="H42" s="28" t="n">
        <v>211035.82</v>
      </c>
      <c r="I42" s="28" t="n">
        <v>151580.98</v>
      </c>
      <c r="J42" s="28" t="n">
        <v>0</v>
      </c>
      <c r="K42" s="26" t="s">
        <v>93</v>
      </c>
      <c r="L42" s="27" t="s">
        <v>37</v>
      </c>
    </row>
    <row r="43" customFormat="false" ht="15" hidden="false" customHeight="false" outlineLevel="0" collapsed="false">
      <c r="A43" s="32" t="s">
        <v>216</v>
      </c>
      <c r="B43" s="32" t="s">
        <v>31</v>
      </c>
      <c r="C43" s="32" t="s">
        <v>66</v>
      </c>
      <c r="D43" s="33" t="s">
        <v>217</v>
      </c>
      <c r="E43" s="33" t="s">
        <v>218</v>
      </c>
      <c r="F43" s="33" t="s">
        <v>93</v>
      </c>
      <c r="G43" s="33" t="s">
        <v>25</v>
      </c>
      <c r="H43" s="34" t="n">
        <v>50681.55</v>
      </c>
      <c r="I43" s="34" t="n">
        <v>0</v>
      </c>
      <c r="J43" s="34" t="n">
        <v>0</v>
      </c>
      <c r="K43" s="32" t="s">
        <v>93</v>
      </c>
      <c r="L43" s="33" t="s">
        <v>93</v>
      </c>
    </row>
    <row r="44" customFormat="false" ht="15" hidden="false" customHeight="false" outlineLevel="0" collapsed="false">
      <c r="A44" s="29" t="s">
        <v>219</v>
      </c>
      <c r="B44" s="29" t="s">
        <v>24</v>
      </c>
      <c r="C44" s="29" t="s">
        <v>67</v>
      </c>
      <c r="D44" s="30" t="s">
        <v>220</v>
      </c>
      <c r="E44" s="30" t="s">
        <v>221</v>
      </c>
      <c r="F44" s="30" t="s">
        <v>222</v>
      </c>
      <c r="G44" s="30" t="s">
        <v>23</v>
      </c>
      <c r="H44" s="31" t="n">
        <v>55501.48</v>
      </c>
      <c r="I44" s="31" t="n">
        <v>46734.9</v>
      </c>
      <c r="J44" s="31" t="n">
        <v>46734.9</v>
      </c>
      <c r="K44" s="29" t="s">
        <v>93</v>
      </c>
      <c r="L44" s="30" t="s">
        <v>93</v>
      </c>
    </row>
    <row r="45" customFormat="false" ht="15" hidden="false" customHeight="false" outlineLevel="0" collapsed="false">
      <c r="A45" s="32" t="s">
        <v>223</v>
      </c>
      <c r="B45" s="32" t="s">
        <v>24</v>
      </c>
      <c r="C45" s="32" t="s">
        <v>67</v>
      </c>
      <c r="D45" s="33" t="s">
        <v>224</v>
      </c>
      <c r="E45" s="33" t="s">
        <v>225</v>
      </c>
      <c r="F45" s="33" t="s">
        <v>93</v>
      </c>
      <c r="G45" s="33" t="s">
        <v>25</v>
      </c>
      <c r="H45" s="34" t="n">
        <v>139720.69</v>
      </c>
      <c r="I45" s="34" t="n">
        <v>0</v>
      </c>
      <c r="J45" s="34" t="n">
        <v>0</v>
      </c>
      <c r="K45" s="32" t="s">
        <v>79</v>
      </c>
      <c r="L45" s="33" t="s">
        <v>93</v>
      </c>
    </row>
    <row r="46" customFormat="false" ht="15" hidden="false" customHeight="false" outlineLevel="0" collapsed="false">
      <c r="A46" s="29" t="s">
        <v>226</v>
      </c>
      <c r="B46" s="29" t="s">
        <v>26</v>
      </c>
      <c r="C46" s="29" t="s">
        <v>67</v>
      </c>
      <c r="D46" s="30" t="s">
        <v>227</v>
      </c>
      <c r="E46" s="30" t="s">
        <v>228</v>
      </c>
      <c r="F46" s="30" t="s">
        <v>229</v>
      </c>
      <c r="G46" s="30" t="s">
        <v>23</v>
      </c>
      <c r="H46" s="31" t="n">
        <v>24916.74</v>
      </c>
      <c r="I46" s="31" t="n">
        <v>18172.37</v>
      </c>
      <c r="J46" s="31" t="n">
        <v>18172.37</v>
      </c>
      <c r="K46" s="29" t="s">
        <v>93</v>
      </c>
      <c r="L46" s="30" t="s">
        <v>93</v>
      </c>
    </row>
    <row r="47" customFormat="false" ht="15" hidden="false" customHeight="false" outlineLevel="0" collapsed="false">
      <c r="A47" s="29" t="s">
        <v>230</v>
      </c>
      <c r="B47" s="29" t="s">
        <v>30</v>
      </c>
      <c r="C47" s="29" t="s">
        <v>65</v>
      </c>
      <c r="D47" s="30" t="s">
        <v>231</v>
      </c>
      <c r="E47" s="30" t="s">
        <v>232</v>
      </c>
      <c r="F47" s="30" t="s">
        <v>101</v>
      </c>
      <c r="G47" s="30" t="s">
        <v>23</v>
      </c>
      <c r="H47" s="31" t="n">
        <v>158944.05</v>
      </c>
      <c r="I47" s="31" t="n">
        <v>135367.23</v>
      </c>
      <c r="J47" s="31" t="n">
        <v>135367.23</v>
      </c>
      <c r="K47" s="29" t="s">
        <v>93</v>
      </c>
      <c r="L47" s="30" t="s">
        <v>93</v>
      </c>
    </row>
    <row r="48" customFormat="false" ht="15" hidden="false" customHeight="false" outlineLevel="0" collapsed="false">
      <c r="A48" s="32" t="s">
        <v>233</v>
      </c>
      <c r="B48" s="32" t="s">
        <v>26</v>
      </c>
      <c r="C48" s="32" t="s">
        <v>65</v>
      </c>
      <c r="D48" s="33" t="s">
        <v>234</v>
      </c>
      <c r="E48" s="33" t="s">
        <v>235</v>
      </c>
      <c r="F48" s="33" t="s">
        <v>93</v>
      </c>
      <c r="G48" s="33" t="s">
        <v>25</v>
      </c>
      <c r="H48" s="34" t="n">
        <v>204730.1</v>
      </c>
      <c r="I48" s="34" t="n">
        <v>0</v>
      </c>
      <c r="J48" s="34" t="n">
        <v>0</v>
      </c>
      <c r="K48" s="32" t="s">
        <v>77</v>
      </c>
      <c r="L48" s="33" t="s">
        <v>93</v>
      </c>
    </row>
    <row r="49" customFormat="false" ht="15" hidden="false" customHeight="false" outlineLevel="0" collapsed="false">
      <c r="A49" s="26" t="s">
        <v>236</v>
      </c>
      <c r="B49" s="26" t="s">
        <v>28</v>
      </c>
      <c r="C49" s="26" t="s">
        <v>67</v>
      </c>
      <c r="D49" s="27" t="s">
        <v>237</v>
      </c>
      <c r="E49" s="27" t="s">
        <v>138</v>
      </c>
      <c r="F49" s="27" t="s">
        <v>93</v>
      </c>
      <c r="G49" s="27" t="s">
        <v>27</v>
      </c>
      <c r="H49" s="28" t="n">
        <v>47226.59</v>
      </c>
      <c r="I49" s="28" t="n">
        <v>34781.75</v>
      </c>
      <c r="J49" s="28" t="n">
        <v>0</v>
      </c>
      <c r="K49" s="26" t="s">
        <v>93</v>
      </c>
      <c r="L49" s="27" t="s">
        <v>38</v>
      </c>
    </row>
    <row r="50" customFormat="false" ht="15" hidden="false" customHeight="false" outlineLevel="0" collapsed="false">
      <c r="A50" s="26" t="s">
        <v>238</v>
      </c>
      <c r="B50" s="26" t="s">
        <v>30</v>
      </c>
      <c r="C50" s="26" t="s">
        <v>65</v>
      </c>
      <c r="D50" s="27" t="s">
        <v>239</v>
      </c>
      <c r="E50" s="27" t="s">
        <v>240</v>
      </c>
      <c r="F50" s="27" t="s">
        <v>93</v>
      </c>
      <c r="G50" s="27" t="s">
        <v>27</v>
      </c>
      <c r="H50" s="28" t="n">
        <v>32183.38</v>
      </c>
      <c r="I50" s="28" t="n">
        <v>28992.13</v>
      </c>
      <c r="J50" s="28" t="n">
        <v>0</v>
      </c>
      <c r="K50" s="26" t="s">
        <v>93</v>
      </c>
      <c r="L50" s="27" t="s">
        <v>35</v>
      </c>
    </row>
    <row r="51" customFormat="false" ht="15" hidden="false" customHeight="false" outlineLevel="0" collapsed="false">
      <c r="A51" s="29" t="s">
        <v>241</v>
      </c>
      <c r="B51" s="29" t="s">
        <v>31</v>
      </c>
      <c r="C51" s="29" t="s">
        <v>64</v>
      </c>
      <c r="D51" s="30" t="s">
        <v>242</v>
      </c>
      <c r="E51" s="30" t="s">
        <v>243</v>
      </c>
      <c r="F51" s="30" t="s">
        <v>244</v>
      </c>
      <c r="G51" s="30" t="s">
        <v>23</v>
      </c>
      <c r="H51" s="31" t="n">
        <v>242373.02</v>
      </c>
      <c r="I51" s="31" t="n">
        <v>185627.76</v>
      </c>
      <c r="J51" s="31" t="n">
        <v>185627.76</v>
      </c>
      <c r="K51" s="29" t="s">
        <v>93</v>
      </c>
      <c r="L51" s="30" t="s">
        <v>93</v>
      </c>
    </row>
    <row r="52" customFormat="false" ht="15" hidden="false" customHeight="false" outlineLevel="0" collapsed="false">
      <c r="A52" s="29" t="s">
        <v>245</v>
      </c>
      <c r="B52" s="29" t="s">
        <v>31</v>
      </c>
      <c r="C52" s="29" t="s">
        <v>65</v>
      </c>
      <c r="D52" s="30" t="s">
        <v>246</v>
      </c>
      <c r="E52" s="30" t="s">
        <v>247</v>
      </c>
      <c r="F52" s="30" t="s">
        <v>248</v>
      </c>
      <c r="G52" s="30" t="s">
        <v>23</v>
      </c>
      <c r="H52" s="31" t="n">
        <v>52944.52</v>
      </c>
      <c r="I52" s="31" t="n">
        <v>43915.18</v>
      </c>
      <c r="J52" s="31" t="n">
        <v>43915.18</v>
      </c>
      <c r="K52" s="29" t="s">
        <v>93</v>
      </c>
      <c r="L52" s="30" t="s">
        <v>93</v>
      </c>
    </row>
    <row r="53" customFormat="false" ht="15" hidden="false" customHeight="false" outlineLevel="0" collapsed="false">
      <c r="A53" s="29" t="s">
        <v>249</v>
      </c>
      <c r="B53" s="29" t="s">
        <v>28</v>
      </c>
      <c r="C53" s="29" t="s">
        <v>64</v>
      </c>
      <c r="D53" s="30" t="s">
        <v>250</v>
      </c>
      <c r="E53" s="30" t="s">
        <v>189</v>
      </c>
      <c r="F53" s="30" t="s">
        <v>251</v>
      </c>
      <c r="G53" s="30" t="s">
        <v>23</v>
      </c>
      <c r="H53" s="31" t="n">
        <v>89853.51</v>
      </c>
      <c r="I53" s="31" t="n">
        <v>82363.79</v>
      </c>
      <c r="J53" s="31" t="n">
        <v>82363.79</v>
      </c>
      <c r="K53" s="29" t="s">
        <v>93</v>
      </c>
      <c r="L53" s="30" t="s">
        <v>93</v>
      </c>
    </row>
    <row r="54" customFormat="false" ht="15" hidden="false" customHeight="false" outlineLevel="0" collapsed="false">
      <c r="A54" s="29" t="s">
        <v>252</v>
      </c>
      <c r="B54" s="29" t="s">
        <v>26</v>
      </c>
      <c r="C54" s="29" t="s">
        <v>67</v>
      </c>
      <c r="D54" s="30" t="s">
        <v>253</v>
      </c>
      <c r="E54" s="30" t="s">
        <v>235</v>
      </c>
      <c r="F54" s="30" t="s">
        <v>254</v>
      </c>
      <c r="G54" s="30" t="s">
        <v>23</v>
      </c>
      <c r="H54" s="31" t="n">
        <v>105320.97</v>
      </c>
      <c r="I54" s="31" t="n">
        <v>90073.67</v>
      </c>
      <c r="J54" s="31" t="n">
        <v>90073.67</v>
      </c>
      <c r="K54" s="29" t="s">
        <v>93</v>
      </c>
      <c r="L54" s="30" t="s">
        <v>93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2026-05-20T06:47:50Z</dcterms:created>
  <dc:creator>openpyxl</dc:creator>
  <dc:description/>
  <dc:language>en-US</dc:language>
  <cp:lastModifiedBy/>
  <dcterms:modified xsi:type="dcterms:W3CDTF">2026-05-20T06:47:58Z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